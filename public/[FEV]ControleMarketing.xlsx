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" sheetId="1" r:id="rId4"/>
    <sheet state="visible" name="Desdobramento SS R2" sheetId="2" r:id="rId5"/>
    <sheet state="visible" name="Calculador Funil R3" sheetId="3" r:id="rId6"/>
    <sheet state="visible" name="ROAS R4" sheetId="4" r:id="rId7"/>
  </sheets>
  <definedNames/>
  <calcPr/>
  <extLst>
    <ext uri="GoogleSheetsCustomDataVersion2">
      <go:sheetsCustomData xmlns:go="http://customooxmlschemas.google.com/" r:id="rId8" roundtripDataChecksum="km5moqP1zxv7q5RkmxxJ4XMihgz6nlAdSB+dkBbUWos="/>
    </ext>
  </extLst>
</workbook>
</file>

<file path=xl/sharedStrings.xml><?xml version="1.0" encoding="utf-8"?>
<sst xmlns="http://schemas.openxmlformats.org/spreadsheetml/2006/main" count="235" uniqueCount="114">
  <si>
    <t>TIER</t>
  </si>
  <si>
    <t>PRODUTO</t>
  </si>
  <si>
    <t>ATINGIMENTO</t>
  </si>
  <si>
    <t>META QNT</t>
  </si>
  <si>
    <t>META FAT</t>
  </si>
  <si>
    <t>META MRR</t>
  </si>
  <si>
    <t>DESDOBRAMENTO</t>
  </si>
  <si>
    <t>QUINZENA 1</t>
  </si>
  <si>
    <t>QUINZENA 2</t>
  </si>
  <si>
    <t>META ATÉ HOJE</t>
  </si>
  <si>
    <t>MRR TOTAL</t>
  </si>
  <si>
    <t>FATURAMENTO TOTAL</t>
  </si>
  <si>
    <t>FATURAMENTO LIQUIDO</t>
  </si>
  <si>
    <t>RECEITA LIQUIDA</t>
  </si>
  <si>
    <t>VENDAS</t>
  </si>
  <si>
    <t>INVESTIMENTO META</t>
  </si>
  <si>
    <t>ROAS</t>
  </si>
  <si>
    <t>TICEKT MÉDIO</t>
  </si>
  <si>
    <t>ATUALIZADO EM</t>
  </si>
  <si>
    <t>T1</t>
  </si>
  <si>
    <t>Aceleraí campanha mensal</t>
  </si>
  <si>
    <t>T2</t>
  </si>
  <si>
    <t>Serviço</t>
  </si>
  <si>
    <t>Renovação</t>
  </si>
  <si>
    <t>Programa de Ativação</t>
  </si>
  <si>
    <t>T3</t>
  </si>
  <si>
    <t>Consultoria</t>
  </si>
  <si>
    <t>-</t>
  </si>
  <si>
    <t/>
  </si>
  <si>
    <t>META F.L TOTAL</t>
  </si>
  <si>
    <t>LUCRO OPERACIONAL</t>
  </si>
  <si>
    <t>META QUINZENA 1</t>
  </si>
  <si>
    <t>META QUINZENA 2</t>
  </si>
  <si>
    <t>F. LIQUIDO ATUAL</t>
  </si>
  <si>
    <t>RECEITA ATUAL</t>
  </si>
  <si>
    <t>ATINGIMENTO CONSULTORIA</t>
  </si>
  <si>
    <t>TICKET MÉDIO CONSULTORIA</t>
  </si>
  <si>
    <t>ATINGIMENTO SERVIÇO</t>
  </si>
  <si>
    <t>TICKET MÉDIO SERVIÇO</t>
  </si>
  <si>
    <t>ATINGIMENTO GERAL</t>
  </si>
  <si>
    <t>TICKET MÉDIO GERAL</t>
  </si>
  <si>
    <t>DIAS ÚTEIS MÊS</t>
  </si>
  <si>
    <t>DIAS ÚTEIS ATÉ HOJE</t>
  </si>
  <si>
    <t>ATINGIMENTO META</t>
  </si>
  <si>
    <t>ATINGIMENTO REAL</t>
  </si>
  <si>
    <t>DELTA META F. LIQ HOJE</t>
  </si>
  <si>
    <t>DELTA META F. LIQ TOTAL</t>
  </si>
  <si>
    <t>DELTA META MRR TOTAL</t>
  </si>
  <si>
    <t>PERFIL</t>
  </si>
  <si>
    <t>ATIVAÇÃO</t>
  </si>
  <si>
    <t>CONVERSÃO</t>
  </si>
  <si>
    <t>LG SS</t>
  </si>
  <si>
    <t>RA CL</t>
  </si>
  <si>
    <t>RR CL</t>
  </si>
  <si>
    <t>FATURAMENTO</t>
  </si>
  <si>
    <t>OBRENOCOP</t>
  </si>
  <si>
    <t>P1/P2</t>
  </si>
  <si>
    <t>TOTAL</t>
  </si>
  <si>
    <t>DIÁRIO</t>
  </si>
  <si>
    <t>FUNIL INDICAÇÃO  - TIER 2</t>
  </si>
  <si>
    <t>FUNIL SOCIAL SELLING   - TIER 2</t>
  </si>
  <si>
    <t>MODELO</t>
  </si>
  <si>
    <t>SERVIÇO - MED0725ID</t>
  </si>
  <si>
    <t>SERVIÇO - MED0425SS</t>
  </si>
  <si>
    <t>PLANEJADO</t>
  </si>
  <si>
    <t>FORECAST</t>
  </si>
  <si>
    <t xml:space="preserve"> REALIZADO </t>
  </si>
  <si>
    <t>INVESTIMENTO TOTAL</t>
  </si>
  <si>
    <t>CAC</t>
  </si>
  <si>
    <t>COMERCIAL</t>
  </si>
  <si>
    <t>% DE INVESTIMENTO</t>
  </si>
  <si>
    <t>INVESTIMENTO EM TRÁFEGO</t>
  </si>
  <si>
    <t>CPL META</t>
  </si>
  <si>
    <t>LEADS</t>
  </si>
  <si>
    <t>LEADS POR DIA</t>
  </si>
  <si>
    <t>CALLS AGENDADS</t>
  </si>
  <si>
    <t>CALLS REALIZADAS</t>
  </si>
  <si>
    <t>COMPARECIMENTO</t>
  </si>
  <si>
    <t>TX DE AGENDAMENTO</t>
  </si>
  <si>
    <t>TX DE CONVERSÃO</t>
  </si>
  <si>
    <t>TICKET MÉDIO</t>
  </si>
  <si>
    <t>VENDA DIRETA</t>
  </si>
  <si>
    <t>CPA</t>
  </si>
  <si>
    <t>VENDAS DIRETAS</t>
  </si>
  <si>
    <t>FATURAMENTO VENDAS DIRETAS</t>
  </si>
  <si>
    <t>NÚCLEO</t>
  </si>
  <si>
    <t>FAT. META</t>
  </si>
  <si>
    <t>INV. PROJETADO</t>
  </si>
  <si>
    <t>ROAS PROJETADO</t>
  </si>
  <si>
    <t>FAT. ATUAL</t>
  </si>
  <si>
    <t>INV. ATUAL</t>
  </si>
  <si>
    <t>ROAS ATUAL</t>
  </si>
  <si>
    <t>INV. %UTILIZADO</t>
  </si>
  <si>
    <t>INV. FORECAST</t>
  </si>
  <si>
    <t>MGS</t>
  </si>
  <si>
    <t>BRANDING EXPONENCIAL</t>
  </si>
  <si>
    <t>xx/xx</t>
  </si>
  <si>
    <t>ACELERAI</t>
  </si>
  <si>
    <t>BLOCO</t>
  </si>
  <si>
    <t>DISTRIBUIÇÃO</t>
  </si>
  <si>
    <t>XXX</t>
  </si>
  <si>
    <t>x</t>
  </si>
  <si>
    <t>IA EXPONENCIAL</t>
  </si>
  <si>
    <t>IN COMPANY</t>
  </si>
  <si>
    <t>CAlENDARIO EXPONENCIAL</t>
  </si>
  <si>
    <t>PASSAPORTE</t>
  </si>
  <si>
    <t>PULSE + MGS</t>
  </si>
  <si>
    <t>MARKETING POLITICO</t>
  </si>
  <si>
    <t>HOTSEAT</t>
  </si>
  <si>
    <t>SAÚDE</t>
  </si>
  <si>
    <t>ASC</t>
  </si>
  <si>
    <t>CARGOS</t>
  </si>
  <si>
    <t>R&amp;R</t>
  </si>
  <si>
    <t>%UTILIZADO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</si>
</sst>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 -416]#,##0.00"/>
    <numFmt numFmtId="165" formatCode="_-&quot;R$&quot;\ * #,##0.00_-;\-&quot;R$&quot;\ * #,##0.00_-;_-&quot;R$&quot;\ * &quot;-&quot;??_-;_-@"/>
    <numFmt numFmtId="166" formatCode="#,##0.0"/>
    <numFmt numFmtId="167" formatCode="dd/MM/yyyy"/>
    <numFmt numFmtId="168" formatCode="0.0%"/>
    <numFmt numFmtId="169" formatCode="0.0"/>
    <numFmt numFmtId="170" formatCode="_([$R$ -416]* #,##0.00_);_([$R$ -416]* \(#,##0.00\);_([$R$ -416]* &quot;-&quot;??_);_(@_)"/>
    <numFmt numFmtId="171" formatCode="&quot;$&quot;#,##0.00"/>
    <numFmt numFmtId="172" formatCode="d/m"/>
  </numFmts>
  <fonts count="15">
    <font>
      <sz val="10.0"/>
      <color rgb="FF000000"/>
      <name val="Arial"/>
      <scheme val="minor"/>
    </font>
    <font>
      <b/>
      <color rgb="FFFFFFFF"/>
      <name val="Nunito"/>
    </font>
    <font>
      <b/>
      <color rgb="FFFFFFFF"/>
      <name val="Arial"/>
    </font>
    <font>
      <b/>
      <color rgb="FF000000"/>
      <name val="Nunito"/>
    </font>
    <font>
      <color theme="1"/>
      <name val="Arial"/>
    </font>
    <font>
      <b/>
      <sz val="9.0"/>
      <color theme="1"/>
      <name val="Nunito"/>
    </font>
    <font>
      <color rgb="FF000000"/>
      <name val="Arial"/>
    </font>
    <font>
      <color rgb="FFFFFFFF"/>
      <name val="Arial"/>
    </font>
    <font/>
    <font>
      <b/>
      <sz val="9.0"/>
      <color rgb="FFFFFFFF"/>
      <name val="Nunito"/>
    </font>
    <font>
      <sz val="9.0"/>
      <color theme="1"/>
      <name val="Nunito"/>
    </font>
    <font>
      <sz val="12.0"/>
      <color theme="1"/>
      <name val="Calibri"/>
    </font>
    <font>
      <b/>
      <color theme="1"/>
      <name val="Arial"/>
    </font>
    <font>
      <b/>
      <color rgb="FF000000"/>
      <name val="Arial"/>
    </font>
    <font>
      <b/>
      <sz val="9.0"/>
      <color rgb="FFF3F3F3"/>
      <name val="Nunito"/>
    </font>
  </fonts>
  <fills count="1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073763"/>
        <bgColor rgb="FF073763"/>
      </patternFill>
    </fill>
    <fill>
      <patternFill patternType="solid">
        <fgColor rgb="FF3E9EA6"/>
        <bgColor rgb="FF3E9EA6"/>
      </patternFill>
    </fill>
    <fill>
      <patternFill patternType="solid">
        <fgColor rgb="FF040506"/>
        <bgColor rgb="FF040506"/>
      </patternFill>
    </fill>
    <fill>
      <patternFill patternType="solid">
        <fgColor rgb="FFCCF1F5"/>
        <bgColor rgb="FFCCF1F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right style="hair">
        <color rgb="FF000000"/>
      </right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3" fontId="1" numFmtId="4" xfId="0" applyAlignment="1" applyBorder="1" applyFill="1" applyFont="1" applyNumberFormat="1">
      <alignment horizontal="center" shrinkToFit="0" vertical="center" wrapText="1"/>
    </xf>
    <xf borderId="1" fillId="3" fontId="1" numFmtId="166" xfId="0" applyAlignment="1" applyBorder="1" applyFont="1" applyNumberFormat="1">
      <alignment horizontal="center" shrinkToFit="0" vertical="center" wrapText="1"/>
    </xf>
    <xf borderId="1" fillId="4" fontId="3" numFmtId="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6" fontId="4" numFmtId="164" xfId="0" applyAlignment="1" applyBorder="1" applyFill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2" fillId="7" fontId="4" numFmtId="164" xfId="0" applyAlignment="1" applyBorder="1" applyFill="1" applyFont="1" applyNumberFormat="1">
      <alignment horizontal="center" vertical="center"/>
    </xf>
    <xf borderId="2" fillId="7" fontId="4" numFmtId="1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vertical="center"/>
    </xf>
    <xf borderId="1" fillId="8" fontId="7" numFmtId="167" xfId="0" applyAlignment="1" applyBorder="1" applyFill="1" applyFont="1" applyNumberFormat="1">
      <alignment horizontal="center" vertical="center"/>
    </xf>
    <xf borderId="2" fillId="5" fontId="5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0" fillId="0" fontId="4" numFmtId="164" xfId="0" applyAlignment="1" applyFont="1" applyNumberFormat="1">
      <alignment horizontal="center" vertical="center"/>
    </xf>
    <xf borderId="1" fillId="7" fontId="4" numFmtId="164" xfId="0" applyAlignment="1" applyBorder="1" applyFont="1" applyNumberFormat="1">
      <alignment horizontal="center" vertical="center"/>
    </xf>
    <xf borderId="1" fillId="7" fontId="4" numFmtId="1" xfId="0" applyAlignment="1" applyBorder="1" applyFont="1" applyNumberFormat="1">
      <alignment horizontal="center" vertical="center"/>
    </xf>
    <xf quotePrefix="1" borderId="0" fillId="0" fontId="4" numFmtId="0" xfId="0" applyAlignment="1" applyFont="1">
      <alignment horizontal="center" vertical="center"/>
    </xf>
    <xf borderId="5" fillId="9" fontId="9" numFmtId="165" xfId="0" applyAlignment="1" applyBorder="1" applyFill="1" applyFont="1" applyNumberFormat="1">
      <alignment horizontal="center" vertical="center"/>
    </xf>
    <xf borderId="6" fillId="0" fontId="8" numFmtId="0" xfId="0" applyBorder="1" applyFont="1"/>
    <xf borderId="7" fillId="3" fontId="9" numFmtId="165" xfId="0" applyAlignment="1" applyBorder="1" applyFont="1" applyNumberFormat="1">
      <alignment horizontal="center" vertical="center"/>
    </xf>
    <xf borderId="8" fillId="9" fontId="9" numFmtId="165" xfId="0" applyAlignment="1" applyBorder="1" applyFont="1" applyNumberFormat="1">
      <alignment horizontal="center" vertical="center"/>
    </xf>
    <xf borderId="5" fillId="9" fontId="9" numFmtId="164" xfId="0" applyAlignment="1" applyBorder="1" applyFont="1" applyNumberFormat="1">
      <alignment horizontal="center" shrinkToFit="0" vertical="center" wrapText="0"/>
    </xf>
    <xf borderId="9" fillId="9" fontId="9" numFmtId="165" xfId="0" applyAlignment="1" applyBorder="1" applyFont="1" applyNumberFormat="1">
      <alignment horizontal="center" vertical="center"/>
    </xf>
    <xf borderId="10" fillId="9" fontId="9" numFmtId="164" xfId="0" applyAlignment="1" applyBorder="1" applyFont="1" applyNumberFormat="1">
      <alignment horizontal="center" vertical="center"/>
    </xf>
    <xf borderId="11" fillId="0" fontId="8" numFmtId="0" xfId="0" applyBorder="1" applyFont="1"/>
    <xf borderId="10" fillId="9" fontId="9" numFmtId="164" xfId="0" applyAlignment="1" applyBorder="1" applyFont="1" applyNumberFormat="1">
      <alignment horizontal="center" shrinkToFit="0" vertical="center" wrapText="0"/>
    </xf>
    <xf borderId="12" fillId="3" fontId="9" numFmtId="164" xfId="0" applyAlignment="1" applyBorder="1" applyFont="1" applyNumberFormat="1">
      <alignment horizontal="center" vertical="center"/>
    </xf>
    <xf borderId="13" fillId="9" fontId="9" numFmtId="164" xfId="0" applyAlignment="1" applyBorder="1" applyFont="1" applyNumberFormat="1">
      <alignment horizontal="center" vertical="center"/>
    </xf>
    <xf borderId="10" fillId="9" fontId="9" numFmtId="1" xfId="0" applyAlignment="1" applyBorder="1" applyFont="1" applyNumberForma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0" fillId="0" fontId="10" numFmtId="0" xfId="0" applyAlignment="1" applyFont="1">
      <alignment horizontal="center" vertical="center"/>
    </xf>
    <xf borderId="17" fillId="5" fontId="5" numFmtId="1" xfId="0" applyAlignment="1" applyBorder="1" applyFont="1" applyNumberFormat="1">
      <alignment horizontal="center" vertical="center"/>
    </xf>
    <xf borderId="18" fillId="0" fontId="8" numFmtId="0" xfId="0" applyBorder="1" applyFont="1"/>
    <xf borderId="19" fillId="0" fontId="8" numFmtId="0" xfId="0" applyBorder="1" applyFont="1"/>
    <xf borderId="1" fillId="9" fontId="9" numFmtId="168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5" fontId="5" numFmtId="0" xfId="0" applyAlignment="1" applyBorder="1" applyFont="1">
      <alignment horizontal="center" vertical="center"/>
    </xf>
    <xf borderId="20" fillId="0" fontId="10" numFmtId="165" xfId="0" applyAlignment="1" applyBorder="1" applyFont="1" applyNumberFormat="1">
      <alignment horizontal="center" vertical="center"/>
    </xf>
    <xf borderId="0" fillId="0" fontId="4" numFmtId="164" xfId="0" applyFont="1" applyNumberFormat="1"/>
    <xf borderId="0" fillId="0" fontId="4" numFmtId="1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9" xfId="0" applyAlignment="1" applyBorder="1" applyFont="1" applyNumberFormat="1">
      <alignment horizontal="center" vertical="center"/>
    </xf>
    <xf borderId="1" fillId="0" fontId="10" numFmtId="168" xfId="0" applyAlignment="1" applyBorder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1" fillId="5" fontId="12" numFmtId="0" xfId="0" applyAlignment="1" applyBorder="1" applyFont="1">
      <alignment horizontal="center" vertical="center"/>
    </xf>
    <xf borderId="19" fillId="5" fontId="4" numFmtId="0" xfId="0" applyAlignment="1" applyBorder="1" applyFont="1">
      <alignment horizontal="center" vertical="center"/>
    </xf>
    <xf borderId="0" fillId="0" fontId="4" numFmtId="168" xfId="0" applyFont="1" applyNumberFormat="1"/>
    <xf borderId="2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17" fillId="10" fontId="14" numFmtId="0" xfId="0" applyAlignment="1" applyBorder="1" applyFill="1" applyFon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17" fillId="11" fontId="14" numFmtId="0" xfId="0" applyAlignment="1" applyBorder="1" applyFill="1" applyFont="1">
      <alignment horizontal="center" vertical="center"/>
    </xf>
    <xf borderId="0" fillId="0" fontId="11" numFmtId="170" xfId="0" applyAlignment="1" applyFont="1" applyNumberFormat="1">
      <alignment horizontal="center" vertical="center"/>
    </xf>
    <xf borderId="1" fillId="11" fontId="14" numFmtId="0" xfId="0" applyAlignment="1" applyBorder="1" applyFont="1">
      <alignment horizontal="center" vertical="center"/>
    </xf>
    <xf borderId="1" fillId="11" fontId="14" numFmtId="170" xfId="0" applyAlignment="1" applyBorder="1" applyFont="1" applyNumberFormat="1">
      <alignment horizontal="center" vertical="center"/>
    </xf>
    <xf borderId="1" fillId="12" fontId="10" numFmtId="0" xfId="0" applyAlignment="1" applyBorder="1" applyFill="1" applyFont="1">
      <alignment horizontal="center" vertical="center"/>
    </xf>
    <xf borderId="1" fillId="13" fontId="10" numFmtId="164" xfId="0" applyAlignment="1" applyBorder="1" applyFill="1" applyFont="1" applyNumberFormat="1">
      <alignment horizontal="center" vertical="center"/>
    </xf>
    <xf borderId="1" fillId="13" fontId="10" numFmtId="170" xfId="0" applyAlignment="1" applyBorder="1" applyFont="1" applyNumberFormat="1">
      <alignment horizontal="center" vertical="center"/>
    </xf>
    <xf borderId="1" fillId="14" fontId="10" numFmtId="0" xfId="0" applyAlignment="1" applyBorder="1" applyFill="1" applyFont="1">
      <alignment horizontal="center" vertical="center"/>
    </xf>
    <xf borderId="1" fillId="14" fontId="10" numFmtId="170" xfId="0" applyAlignment="1" applyBorder="1" applyFont="1" applyNumberFormat="1">
      <alignment horizontal="center" vertical="center"/>
    </xf>
    <xf borderId="1" fillId="14" fontId="10" numFmtId="4" xfId="0" applyAlignment="1" applyBorder="1" applyFont="1" applyNumberFormat="1">
      <alignment horizontal="center" vertical="center"/>
    </xf>
    <xf borderId="1" fillId="14" fontId="10" numFmtId="3" xfId="0" applyAlignment="1" applyBorder="1" applyFont="1" applyNumberFormat="1">
      <alignment horizontal="center" vertical="center"/>
    </xf>
    <xf borderId="1" fillId="4" fontId="10" numFmtId="10" xfId="0" applyAlignment="1" applyBorder="1" applyFont="1" applyNumberFormat="1">
      <alignment horizontal="center" vertical="center"/>
    </xf>
    <xf borderId="1" fillId="0" fontId="10" numFmtId="10" xfId="0" applyAlignment="1" applyBorder="1" applyFont="1" applyNumberFormat="1">
      <alignment horizontal="center" vertical="center"/>
    </xf>
    <xf borderId="1" fillId="4" fontId="10" numFmtId="9" xfId="0" applyAlignment="1" applyBorder="1" applyFont="1" applyNumberFormat="1">
      <alignment horizontal="center" vertical="center"/>
    </xf>
    <xf borderId="1" fillId="0" fontId="10" numFmtId="170" xfId="0" applyAlignment="1" applyBorder="1" applyFont="1" applyNumberFormat="1">
      <alignment horizontal="center" vertical="center"/>
    </xf>
    <xf borderId="1" fillId="4" fontId="10" numFmtId="3" xfId="0" applyAlignment="1" applyBorder="1" applyFont="1" applyNumberFormat="1">
      <alignment horizontal="center" vertical="center"/>
    </xf>
    <xf borderId="1" fillId="0" fontId="10" numFmtId="3" xfId="0" applyAlignment="1" applyBorder="1" applyFont="1" applyNumberFormat="1">
      <alignment horizontal="center" vertical="center"/>
    </xf>
    <xf borderId="1" fillId="4" fontId="10" numFmtId="1" xfId="0" applyAlignment="1" applyBorder="1" applyFont="1" applyNumberForma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" fillId="13" fontId="10" numFmtId="10" xfId="0" applyAlignment="1" applyBorder="1" applyFont="1" applyNumberFormat="1">
      <alignment horizontal="center" vertical="center"/>
    </xf>
    <xf borderId="1" fillId="13" fontId="10" numFmtId="3" xfId="0" applyAlignment="1" applyBorder="1" applyFont="1" applyNumberFormat="1">
      <alignment horizontal="center" vertical="center"/>
    </xf>
    <xf borderId="8" fillId="2" fontId="9" numFmtId="164" xfId="0" applyAlignment="1" applyBorder="1" applyFont="1" applyNumberFormat="1">
      <alignment horizontal="center" vertical="center"/>
    </xf>
    <xf borderId="8" fillId="2" fontId="9" numFmtId="171" xfId="0" applyAlignment="1" applyBorder="1" applyFont="1" applyNumberFormat="1">
      <alignment horizontal="center" vertical="center"/>
    </xf>
    <xf borderId="8" fillId="3" fontId="9" numFmtId="0" xfId="0" applyAlignment="1" applyBorder="1" applyFont="1">
      <alignment horizontal="center" vertical="center"/>
    </xf>
    <xf borderId="8" fillId="3" fontId="9" numFmtId="166" xfId="0" applyAlignment="1" applyBorder="1" applyFont="1" applyNumberForma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2" fontId="9" numFmtId="169" xfId="0" applyAlignment="1" applyBorder="1" applyFont="1" applyNumberFormat="1">
      <alignment horizontal="center" vertical="center"/>
    </xf>
    <xf borderId="13" fillId="5" fontId="5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8" fillId="13" fontId="10" numFmtId="0" xfId="0" applyAlignment="1" applyBorder="1" applyFont="1">
      <alignment horizontal="center" readingOrder="0" vertical="center"/>
    </xf>
    <xf borderId="8" fillId="0" fontId="10" numFmtId="165" xfId="0" applyAlignment="1" applyBorder="1" applyFont="1" applyNumberFormat="1">
      <alignment horizontal="center" readingOrder="0" vertical="center"/>
    </xf>
    <xf borderId="8" fillId="0" fontId="11" numFmtId="166" xfId="0" applyAlignment="1" applyBorder="1" applyFont="1" applyNumberFormat="1">
      <alignment horizontal="center" vertical="center"/>
    </xf>
    <xf borderId="8" fillId="0" fontId="11" numFmtId="165" xfId="0" applyAlignment="1" applyBorder="1" applyFont="1" applyNumberFormat="1">
      <alignment horizontal="center" vertical="center"/>
    </xf>
    <xf borderId="8" fillId="0" fontId="10" numFmtId="165" xfId="0" applyAlignment="1" applyBorder="1" applyFont="1" applyNumberFormat="1">
      <alignment horizontal="center" vertical="center"/>
    </xf>
    <xf borderId="8" fillId="13" fontId="10" numFmtId="169" xfId="0" applyAlignment="1" applyBorder="1" applyFont="1" applyNumberFormat="1">
      <alignment horizontal="center" vertical="center"/>
    </xf>
    <xf borderId="8" fillId="0" fontId="10" numFmtId="168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center" vertical="center"/>
    </xf>
    <xf borderId="12" fillId="0" fontId="8" numFmtId="0" xfId="0" applyBorder="1" applyFont="1"/>
    <xf borderId="8" fillId="5" fontId="5" numFmtId="0" xfId="0" applyAlignment="1" applyBorder="1" applyFont="1">
      <alignment horizontal="center" vertical="center"/>
    </xf>
    <xf borderId="8" fillId="13" fontId="10" numFmtId="0" xfId="0" applyAlignment="1" applyBorder="1" applyFon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13" fillId="5" fontId="5" numFmtId="0" xfId="0" applyAlignment="1" applyBorder="1" applyFont="1">
      <alignment horizontal="center" vertical="center"/>
    </xf>
    <xf borderId="8" fillId="0" fontId="10" numFmtId="166" xfId="0" applyAlignment="1" applyBorder="1" applyFont="1" applyNumberFormat="1">
      <alignment horizontal="center" vertical="center"/>
    </xf>
    <xf borderId="8" fillId="0" fontId="10" numFmtId="172" xfId="0" applyAlignment="1" applyBorder="1" applyFont="1" applyNumberFormat="1">
      <alignment horizontal="center" vertical="center"/>
    </xf>
    <xf borderId="8" fillId="15" fontId="10" numFmtId="172" xfId="0" applyAlignment="1" applyBorder="1" applyFill="1" applyFont="1" applyNumberFormat="1">
      <alignment horizontal="center" vertical="center"/>
    </xf>
    <xf borderId="8" fillId="16" fontId="10" numFmtId="0" xfId="0" applyAlignment="1" applyBorder="1" applyFill="1" applyFont="1">
      <alignment horizontal="center" readingOrder="0" vertical="center"/>
    </xf>
    <xf borderId="8" fillId="16" fontId="10" numFmtId="165" xfId="0" applyAlignment="1" applyBorder="1" applyFont="1" applyNumberFormat="1">
      <alignment horizontal="center" readingOrder="0" vertical="center"/>
    </xf>
    <xf borderId="8" fillId="17" fontId="10" numFmtId="0" xfId="0" applyAlignment="1" applyBorder="1" applyFill="1" applyFont="1">
      <alignment horizontal="center" readingOrder="0" vertical="center"/>
    </xf>
    <xf borderId="8" fillId="17" fontId="10" numFmtId="165" xfId="0" applyAlignment="1" applyBorder="1" applyFont="1" applyNumberForma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13" fillId="5" fontId="11" numFmtId="0" xfId="0" applyAlignment="1" applyBorder="1" applyFont="1">
      <alignment horizontal="center" readingOrder="0" vertical="center"/>
    </xf>
    <xf borderId="8" fillId="13" fontId="11" numFmtId="169" xfId="0" applyAlignment="1" applyBorder="1" applyFont="1" applyNumberFormat="1">
      <alignment horizontal="center" vertical="center"/>
    </xf>
    <xf borderId="8" fillId="0" fontId="11" numFmtId="168" xfId="0" applyAlignment="1" applyBorder="1" applyFont="1" applyNumberFormat="1">
      <alignment horizontal="center" vertical="center"/>
    </xf>
    <xf borderId="0" fillId="0" fontId="11" numFmtId="169" xfId="0" applyAlignment="1" applyFont="1" applyNumberFormat="1">
      <alignment horizontal="center" vertical="center"/>
    </xf>
    <xf borderId="10" fillId="5" fontId="5" numFmtId="0" xfId="0" applyAlignment="1" applyBorder="1" applyFont="1">
      <alignment horizontal="center" vertical="center"/>
    </xf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13" fillId="9" fontId="9" numFmtId="165" xfId="0" applyAlignment="1" applyBorder="1" applyFont="1" applyNumberFormat="1">
      <alignment horizontal="center" vertical="center"/>
    </xf>
    <xf borderId="13" fillId="9" fontId="9" numFmtId="166" xfId="0" applyAlignment="1" applyBorder="1" applyFont="1" applyNumberFormat="1">
      <alignment horizontal="center" vertical="center"/>
    </xf>
    <xf borderId="13" fillId="9" fontId="9" numFmtId="169" xfId="0" applyAlignment="1" applyBorder="1" applyFont="1" applyNumberFormat="1">
      <alignment horizontal="center" vertical="center"/>
    </xf>
    <xf borderId="2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1" max="1" width="18.88"/>
    <col customWidth="1" min="2" max="2" width="21.25"/>
    <col customWidth="1" min="3" max="3" width="13.5"/>
    <col customWidth="1" min="4" max="6" width="14.0"/>
    <col collapsed="1" customWidth="1" min="7" max="7" width="18.88"/>
    <col customWidth="1" hidden="1" min="8" max="9" width="18.88" outlineLevel="1"/>
    <col customWidth="1" min="10" max="10" width="18.63"/>
    <col customWidth="1" min="11" max="11" width="14.0"/>
    <col customWidth="1" min="12" max="13" width="22.63"/>
    <col customWidth="1" min="14" max="14" width="20.63"/>
    <col customWidth="1" min="15" max="15" width="18.88"/>
    <col customWidth="1" min="16" max="16" width="23.63"/>
    <col customWidth="1" min="17" max="17" width="18.88"/>
    <col customWidth="1" min="18" max="18" width="14.5"/>
    <col customWidth="1" min="19" max="19" width="15.13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6" t="s">
        <v>17</v>
      </c>
      <c r="S1" s="4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26.25" customHeight="1">
      <c r="A2" s="8" t="s">
        <v>19</v>
      </c>
      <c r="B2" s="9" t="s">
        <v>20</v>
      </c>
      <c r="C2" s="10">
        <f t="shared" ref="C2:C3" si="2">IFERROR((M2/G2),"-")</f>
        <v>1.025</v>
      </c>
      <c r="D2" s="11">
        <v>1.0</v>
      </c>
      <c r="E2" s="12">
        <f>SUM(G2)</f>
        <v>40000</v>
      </c>
      <c r="F2" s="12">
        <v>0.0</v>
      </c>
      <c r="G2" s="12">
        <v>40000.0</v>
      </c>
      <c r="H2" s="12">
        <f t="shared" ref="H2:H3" si="3">G2/2</f>
        <v>20000</v>
      </c>
      <c r="I2" s="12">
        <f t="shared" ref="I2:I3" si="4">G2/2</f>
        <v>20000</v>
      </c>
      <c r="J2" s="13">
        <f t="shared" ref="J2:J3" si="5">G2/$C$18*$C$19</f>
        <v>40000</v>
      </c>
      <c r="K2" s="13">
        <v>0.0</v>
      </c>
      <c r="L2" s="13">
        <f t="shared" ref="L2:M2" si="1">20000+21000</f>
        <v>41000</v>
      </c>
      <c r="M2" s="13">
        <f t="shared" si="1"/>
        <v>41000</v>
      </c>
      <c r="N2" s="13">
        <f>19099.51+ 20054.61</f>
        <v>39154.12</v>
      </c>
      <c r="O2" s="14">
        <v>2.0</v>
      </c>
      <c r="P2" s="15">
        <v>0.0</v>
      </c>
      <c r="Q2" s="16" t="str">
        <f>IFERROR((G2+G3+G5)/P2,"--")</f>
        <v>--</v>
      </c>
      <c r="R2" s="17">
        <f t="shared" ref="R2:R3" si="6">IFERROR(L2/O2,"--")</f>
        <v>20500</v>
      </c>
      <c r="S2" s="18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26.25" customHeight="1">
      <c r="A3" s="19" t="s">
        <v>21</v>
      </c>
      <c r="B3" s="9" t="s">
        <v>22</v>
      </c>
      <c r="C3" s="10">
        <f t="shared" si="2"/>
        <v>0.975</v>
      </c>
      <c r="D3" s="11">
        <v>17.0</v>
      </c>
      <c r="E3" s="20">
        <f>SUM(G3:G5)</f>
        <v>60000</v>
      </c>
      <c r="F3" s="12">
        <v>30000.0</v>
      </c>
      <c r="G3" s="12">
        <v>60000.0</v>
      </c>
      <c r="H3" s="12">
        <f t="shared" si="3"/>
        <v>30000</v>
      </c>
      <c r="I3" s="12">
        <f t="shared" si="4"/>
        <v>30000</v>
      </c>
      <c r="J3" s="13">
        <f t="shared" si="5"/>
        <v>60000</v>
      </c>
      <c r="K3" s="13">
        <v>5000.0</v>
      </c>
      <c r="L3" s="13">
        <f>10000+9000+6000+6000+9000+5500+6000+15000</f>
        <v>66500</v>
      </c>
      <c r="M3" s="13">
        <v>58500.0</v>
      </c>
      <c r="N3" s="13">
        <f>49950.6+5000</f>
        <v>54950.6</v>
      </c>
      <c r="O3" s="14">
        <v>9.0</v>
      </c>
      <c r="P3" s="21"/>
      <c r="Q3" s="21"/>
      <c r="R3" s="17">
        <f t="shared" si="6"/>
        <v>7388.888889</v>
      </c>
      <c r="S3" s="18" t="str">
        <f>S2</f>
        <v/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26.25" customHeight="1">
      <c r="A4" s="21"/>
      <c r="B4" s="9" t="s">
        <v>23</v>
      </c>
      <c r="C4" s="10">
        <v>0.0</v>
      </c>
      <c r="D4" s="11">
        <v>0.0</v>
      </c>
      <c r="E4" s="21"/>
      <c r="F4" s="12">
        <v>0.0</v>
      </c>
      <c r="G4" s="12">
        <v>0.0</v>
      </c>
      <c r="H4" s="12"/>
      <c r="I4" s="12"/>
      <c r="J4" s="13">
        <v>0.0</v>
      </c>
      <c r="K4" s="13">
        <v>6800.0</v>
      </c>
      <c r="L4" s="13">
        <f>(3000*3)+(2000)+(1800*3)</f>
        <v>16400</v>
      </c>
      <c r="M4" s="13">
        <f>2000+3000+1800</f>
        <v>6800</v>
      </c>
      <c r="N4" s="13">
        <f>1907+3000+1800</f>
        <v>6707</v>
      </c>
      <c r="O4" s="14">
        <v>3.0</v>
      </c>
      <c r="P4" s="21"/>
      <c r="Q4" s="21"/>
      <c r="R4" s="17"/>
      <c r="S4" s="18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26.25" customHeight="1">
      <c r="A5" s="22"/>
      <c r="B5" s="9" t="s">
        <v>24</v>
      </c>
      <c r="C5" s="10" t="str">
        <f t="shared" ref="C5:C7" si="7">IFERROR((M5/G5),"-")</f>
        <v>-</v>
      </c>
      <c r="D5" s="11">
        <v>2.0</v>
      </c>
      <c r="E5" s="22"/>
      <c r="F5" s="23">
        <v>0.0</v>
      </c>
      <c r="G5" s="12">
        <v>0.0</v>
      </c>
      <c r="H5" s="12">
        <f>G5/2</f>
        <v>0</v>
      </c>
      <c r="I5" s="12">
        <f>G5/2</f>
        <v>0</v>
      </c>
      <c r="J5" s="13">
        <f t="shared" ref="J5:J7" si="8">G5/$C$18*$C$19</f>
        <v>0</v>
      </c>
      <c r="K5" s="13">
        <v>0.0</v>
      </c>
      <c r="L5" s="13"/>
      <c r="M5" s="13"/>
      <c r="N5" s="13"/>
      <c r="O5" s="14"/>
      <c r="P5" s="22"/>
      <c r="Q5" s="22"/>
      <c r="R5" s="17" t="str">
        <f t="shared" ref="R5:R7" si="9">IFERROR(L5/O5,"--")</f>
        <v>--</v>
      </c>
      <c r="S5" s="18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26.25" customHeight="1">
      <c r="A6" s="19" t="s">
        <v>25</v>
      </c>
      <c r="B6" s="9" t="s">
        <v>26</v>
      </c>
      <c r="C6" s="10">
        <f t="shared" si="7"/>
        <v>0</v>
      </c>
      <c r="D6" s="11">
        <v>1.0</v>
      </c>
      <c r="E6" s="20">
        <f>SUM(G6:G7)</f>
        <v>34185</v>
      </c>
      <c r="F6" s="12">
        <v>0.0</v>
      </c>
      <c r="G6" s="12">
        <f>1300</f>
        <v>1300</v>
      </c>
      <c r="H6" s="12">
        <v>0.0</v>
      </c>
      <c r="I6" s="12">
        <v>0.0</v>
      </c>
      <c r="J6" s="13">
        <f t="shared" si="8"/>
        <v>1300</v>
      </c>
      <c r="K6" s="13">
        <v>0.0</v>
      </c>
      <c r="L6" s="13"/>
      <c r="M6" s="13"/>
      <c r="N6" s="13"/>
      <c r="O6" s="14"/>
      <c r="P6" s="24">
        <v>0.0</v>
      </c>
      <c r="Q6" s="25" t="s">
        <v>27</v>
      </c>
      <c r="R6" s="17" t="str">
        <f t="shared" si="9"/>
        <v>--</v>
      </c>
      <c r="S6" s="18" t="str">
        <f>S3</f>
        <v/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26.25" customHeight="1">
      <c r="A7" s="22"/>
      <c r="B7" s="9" t="s">
        <v>22</v>
      </c>
      <c r="C7" s="10">
        <f t="shared" si="7"/>
        <v>0.8389235214</v>
      </c>
      <c r="D7" s="11">
        <v>10.0</v>
      </c>
      <c r="E7" s="22"/>
      <c r="F7" s="12">
        <v>0.0</v>
      </c>
      <c r="G7" s="12">
        <v>32885.0</v>
      </c>
      <c r="H7" s="12">
        <f>G7-I7</f>
        <v>26385</v>
      </c>
      <c r="I7" s="12">
        <f>3500+3000</f>
        <v>6500</v>
      </c>
      <c r="J7" s="13">
        <f t="shared" si="8"/>
        <v>32885</v>
      </c>
      <c r="K7" s="13">
        <v>0.0</v>
      </c>
      <c r="L7" s="13">
        <f t="shared" ref="L7:N7" si="10">21091+3500+2997</f>
        <v>27588</v>
      </c>
      <c r="M7" s="13">
        <f t="shared" si="10"/>
        <v>27588</v>
      </c>
      <c r="N7" s="13">
        <f t="shared" si="10"/>
        <v>27588</v>
      </c>
      <c r="O7" s="14">
        <v>7.0</v>
      </c>
      <c r="P7" s="24">
        <v>0.0</v>
      </c>
      <c r="Q7" s="25" t="s">
        <v>27</v>
      </c>
      <c r="R7" s="17">
        <f t="shared" si="9"/>
        <v>3941.142857</v>
      </c>
      <c r="S7" s="18" t="str">
        <f>S6</f>
        <v/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26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6" t="s">
        <v>28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ht="26.25" customHeight="1">
      <c r="A9" s="7"/>
      <c r="B9" s="7"/>
      <c r="C9" s="7"/>
      <c r="D9" s="27" t="s">
        <v>29</v>
      </c>
      <c r="E9" s="28"/>
      <c r="F9" s="27" t="s">
        <v>5</v>
      </c>
      <c r="G9" s="29" t="s">
        <v>30</v>
      </c>
      <c r="H9" s="30" t="s">
        <v>31</v>
      </c>
      <c r="I9" s="27" t="s">
        <v>32</v>
      </c>
      <c r="J9" s="31" t="s">
        <v>10</v>
      </c>
      <c r="K9" s="28"/>
      <c r="L9" s="27" t="s">
        <v>11</v>
      </c>
      <c r="M9" s="27" t="s">
        <v>33</v>
      </c>
      <c r="N9" s="32" t="s">
        <v>34</v>
      </c>
      <c r="O9" s="27" t="s">
        <v>14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26.25" customHeight="1">
      <c r="A10" s="7"/>
      <c r="B10" s="7"/>
      <c r="C10" s="7"/>
      <c r="D10" s="33">
        <f>SUM(E2:E7)</f>
        <v>134185</v>
      </c>
      <c r="E10" s="34"/>
      <c r="F10" s="35">
        <f>SUM(F2:F7)</f>
        <v>30000</v>
      </c>
      <c r="G10" s="36">
        <f>D10-(P2+P3+P6+P7)</f>
        <v>134185</v>
      </c>
      <c r="H10" s="37">
        <f t="shared" ref="H10:I10" si="11">SUM(H2:H7)</f>
        <v>76385</v>
      </c>
      <c r="I10" s="37">
        <f t="shared" si="11"/>
        <v>56500</v>
      </c>
      <c r="J10" s="35">
        <f>SUM(K2:K7)</f>
        <v>11800</v>
      </c>
      <c r="K10" s="34"/>
      <c r="L10" s="35">
        <f t="shared" ref="L10:O10" si="12">SUM(L2:L7)</f>
        <v>151488</v>
      </c>
      <c r="M10" s="35">
        <f t="shared" si="12"/>
        <v>133888</v>
      </c>
      <c r="N10" s="35">
        <f t="shared" si="12"/>
        <v>128399.72</v>
      </c>
      <c r="O10" s="38">
        <f t="shared" si="12"/>
        <v>21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ht="26.25" customHeight="1">
      <c r="A11" s="7"/>
      <c r="B11" s="7"/>
      <c r="C11" s="7"/>
      <c r="D11" s="39"/>
      <c r="E11" s="40"/>
      <c r="F11" s="39"/>
      <c r="G11" s="41"/>
      <c r="H11" s="41"/>
      <c r="I11" s="41"/>
      <c r="J11" s="39"/>
      <c r="K11" s="40"/>
      <c r="L11" s="39"/>
      <c r="M11" s="39"/>
      <c r="N11" s="39"/>
      <c r="O11" s="3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26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26.25" customHeight="1">
      <c r="A13" s="42"/>
      <c r="B13" s="7"/>
      <c r="C13" s="43" t="s">
        <v>35</v>
      </c>
      <c r="D13" s="44"/>
      <c r="E13" s="44"/>
      <c r="F13" s="45"/>
      <c r="G13" s="46">
        <f>IFERROR(L2/G2,"-")</f>
        <v>1.025</v>
      </c>
      <c r="H13" s="7"/>
      <c r="I13" s="47"/>
      <c r="J13" s="48"/>
      <c r="K13" s="48"/>
      <c r="L13" s="49" t="s">
        <v>36</v>
      </c>
      <c r="M13" s="50">
        <f>IFERROR(M2/O2,"--")</f>
        <v>20500</v>
      </c>
      <c r="R13" s="48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ht="26.25" customHeight="1">
      <c r="A14" s="42"/>
      <c r="B14" s="7"/>
      <c r="C14" s="43" t="s">
        <v>37</v>
      </c>
      <c r="D14" s="44"/>
      <c r="E14" s="44"/>
      <c r="F14" s="45"/>
      <c r="G14" s="46">
        <f>IFERROR((M3+M5)/(G3+G5),"-")</f>
        <v>0.975</v>
      </c>
      <c r="H14" s="7"/>
      <c r="I14" s="47"/>
      <c r="J14" s="48"/>
      <c r="K14" s="48"/>
      <c r="L14" s="49" t="s">
        <v>38</v>
      </c>
      <c r="M14" s="50">
        <f>SUM(M3,M4)/(O3+O4)</f>
        <v>5441.666667</v>
      </c>
      <c r="N14" s="51"/>
      <c r="R14" s="48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26.25" customHeight="1">
      <c r="A15" s="42"/>
      <c r="B15" s="7"/>
      <c r="C15" s="43" t="s">
        <v>39</v>
      </c>
      <c r="D15" s="44"/>
      <c r="E15" s="44"/>
      <c r="F15" s="45"/>
      <c r="G15" s="46">
        <f>M10/D10</f>
        <v>0.9977866379</v>
      </c>
      <c r="H15" s="7"/>
      <c r="I15" s="47"/>
      <c r="J15" s="48"/>
      <c r="K15" s="48"/>
      <c r="L15" s="49" t="s">
        <v>40</v>
      </c>
      <c r="M15" s="50">
        <f>SUM(M2:M4)/(O2+O3+O4)</f>
        <v>7592.857143</v>
      </c>
      <c r="N15" s="51"/>
      <c r="R15" s="48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26.25" customHeight="1">
      <c r="A16" s="42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3"/>
      <c r="N16" s="52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ht="26.25" customHeight="1">
      <c r="A17" s="7"/>
      <c r="B17" s="7"/>
      <c r="C17" s="7"/>
      <c r="D17" s="7"/>
      <c r="E17" s="7"/>
      <c r="F17" s="7"/>
      <c r="G17" s="7"/>
      <c r="H17" s="7"/>
      <c r="I17" s="53"/>
      <c r="J17" s="7"/>
      <c r="K17" s="7"/>
      <c r="L17" s="7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ht="26.25" customHeight="1">
      <c r="A18" s="7"/>
      <c r="B18" s="54" t="s">
        <v>41</v>
      </c>
      <c r="C18" s="54">
        <v>22.0</v>
      </c>
      <c r="D18" s="7"/>
      <c r="E18" s="52"/>
      <c r="F18" s="52"/>
      <c r="G18" s="7"/>
      <c r="H18" s="7"/>
      <c r="I18" s="7"/>
      <c r="J18" s="7"/>
      <c r="K18" s="23"/>
      <c r="L18" s="23"/>
      <c r="M18" s="23"/>
      <c r="N18" s="23"/>
      <c r="O18" s="5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ht="26.25" customHeight="1">
      <c r="A19" s="7"/>
      <c r="B19" s="54" t="s">
        <v>42</v>
      </c>
      <c r="C19" s="54">
        <v>22.0</v>
      </c>
      <c r="D19" s="7"/>
      <c r="E19" s="7"/>
      <c r="F19" s="7"/>
      <c r="G19" s="7"/>
      <c r="H19" s="7"/>
      <c r="I19" s="7"/>
      <c r="J19" s="7"/>
      <c r="K19" s="52"/>
      <c r="L19" s="52"/>
      <c r="M19" s="52"/>
      <c r="N19" s="52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26.25" customHeight="1">
      <c r="A20" s="7"/>
      <c r="B20" s="54" t="s">
        <v>43</v>
      </c>
      <c r="C20" s="55">
        <f>1/C18*C19</f>
        <v>1</v>
      </c>
      <c r="D20" s="7"/>
      <c r="E20" s="7"/>
      <c r="F20" s="7"/>
      <c r="G20" s="7"/>
      <c r="H20" s="7"/>
      <c r="I20" s="7"/>
      <c r="J20" s="7"/>
      <c r="K20" s="53"/>
      <c r="L20" s="52"/>
      <c r="M20" s="53"/>
      <c r="N20" s="52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26.25" customHeight="1">
      <c r="A21" s="7"/>
      <c r="B21" s="54" t="s">
        <v>44</v>
      </c>
      <c r="C21" s="56">
        <f>G15</f>
        <v>0.9977866379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26.25" customHeight="1">
      <c r="A22" s="7"/>
      <c r="B22" s="54" t="s">
        <v>45</v>
      </c>
      <c r="C22" s="57">
        <f>M10-SUM(J2:J7)</f>
        <v>-297</v>
      </c>
      <c r="D22" s="7"/>
      <c r="E22" s="7"/>
      <c r="F22" s="7"/>
      <c r="G22" s="5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26.25" customHeight="1">
      <c r="A23" s="7"/>
      <c r="B23" s="54" t="s">
        <v>46</v>
      </c>
      <c r="C23" s="57">
        <f>M10-D10</f>
        <v>-297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26.25" customHeight="1">
      <c r="A24" s="7"/>
      <c r="B24" s="54" t="s">
        <v>47</v>
      </c>
      <c r="C24" s="57">
        <f>J10-F10</f>
        <v>-18200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26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26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26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26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26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26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26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</sheetData>
  <mergeCells count="21">
    <mergeCell ref="P2:P5"/>
    <mergeCell ref="Q2:Q5"/>
    <mergeCell ref="A3:A5"/>
    <mergeCell ref="E3:E5"/>
    <mergeCell ref="A6:A7"/>
    <mergeCell ref="E6:E7"/>
    <mergeCell ref="J9:K9"/>
    <mergeCell ref="L10:L11"/>
    <mergeCell ref="M10:M11"/>
    <mergeCell ref="N10:N11"/>
    <mergeCell ref="O10:O11"/>
    <mergeCell ref="C13:F13"/>
    <mergeCell ref="C14:F14"/>
    <mergeCell ref="C15:F15"/>
    <mergeCell ref="D9:E9"/>
    <mergeCell ref="D10:E11"/>
    <mergeCell ref="F10:F11"/>
    <mergeCell ref="G10:G11"/>
    <mergeCell ref="H10:H11"/>
    <mergeCell ref="I10:I11"/>
    <mergeCell ref="J10:K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8" width="18.88"/>
    <col customWidth="1" min="9" max="9" width="14.25"/>
    <col customWidth="1" min="10" max="13" width="18.88"/>
    <col customWidth="1" min="15" max="15" width="20.0"/>
    <col customWidth="1" min="16" max="16" width="16.63"/>
  </cols>
  <sheetData>
    <row r="1" ht="26.25" customHeight="1">
      <c r="A1" s="58" t="s">
        <v>48</v>
      </c>
      <c r="B1" s="58" t="s">
        <v>1</v>
      </c>
      <c r="C1" s="58" t="s">
        <v>49</v>
      </c>
      <c r="D1" s="58" t="s">
        <v>50</v>
      </c>
      <c r="E1" s="58" t="s">
        <v>51</v>
      </c>
      <c r="F1" s="58" t="s">
        <v>52</v>
      </c>
      <c r="G1" s="58" t="s">
        <v>53</v>
      </c>
      <c r="H1" s="58" t="s">
        <v>14</v>
      </c>
      <c r="I1" s="58" t="s">
        <v>54</v>
      </c>
    </row>
    <row r="2" ht="26.25" customHeight="1">
      <c r="A2" s="59" t="s">
        <v>55</v>
      </c>
      <c r="B2" s="60" t="s">
        <v>56</v>
      </c>
      <c r="C2" s="14">
        <v>11000.0</v>
      </c>
      <c r="D2" s="14">
        <f>C2*0.018</f>
        <v>198</v>
      </c>
      <c r="E2" s="14">
        <f>D2*0.6</f>
        <v>118.8</v>
      </c>
      <c r="F2" s="14">
        <f>E2*0.8</f>
        <v>95.04</v>
      </c>
      <c r="G2" s="14">
        <f>F2*0.6</f>
        <v>57.024</v>
      </c>
      <c r="H2" s="14">
        <f>G2*0.25</f>
        <v>14.256</v>
      </c>
      <c r="I2" s="12">
        <f>H2*6000</f>
        <v>85536</v>
      </c>
    </row>
    <row r="3" ht="26.25" customHeight="1">
      <c r="F3" s="61"/>
    </row>
    <row r="4" ht="26.25" customHeight="1">
      <c r="A4" s="58" t="s">
        <v>57</v>
      </c>
      <c r="B4" s="58" t="s">
        <v>1</v>
      </c>
      <c r="C4" s="58" t="s">
        <v>49</v>
      </c>
      <c r="D4" s="58" t="s">
        <v>50</v>
      </c>
      <c r="E4" s="58" t="s">
        <v>51</v>
      </c>
      <c r="F4" s="58" t="s">
        <v>52</v>
      </c>
      <c r="G4" s="58" t="s">
        <v>53</v>
      </c>
      <c r="H4" s="58" t="s">
        <v>14</v>
      </c>
      <c r="I4" s="58" t="s">
        <v>54</v>
      </c>
    </row>
    <row r="5" ht="26.25" customHeight="1">
      <c r="A5" s="59" t="s">
        <v>57</v>
      </c>
      <c r="B5" s="60" t="s">
        <v>56</v>
      </c>
      <c r="C5" s="14">
        <f t="shared" ref="C5:I5" si="1">SUM(C2)</f>
        <v>11000</v>
      </c>
      <c r="D5" s="14">
        <f t="shared" si="1"/>
        <v>198</v>
      </c>
      <c r="E5" s="14">
        <f t="shared" si="1"/>
        <v>118.8</v>
      </c>
      <c r="F5" s="14">
        <f t="shared" si="1"/>
        <v>95.04</v>
      </c>
      <c r="G5" s="14">
        <f t="shared" si="1"/>
        <v>57.024</v>
      </c>
      <c r="H5" s="14">
        <f t="shared" si="1"/>
        <v>14.256</v>
      </c>
      <c r="I5" s="12">
        <f t="shared" si="1"/>
        <v>85536</v>
      </c>
    </row>
    <row r="6" ht="26.25" customHeight="1"/>
    <row r="7" ht="26.25" customHeight="1">
      <c r="A7" s="58" t="s">
        <v>58</v>
      </c>
      <c r="B7" s="58" t="s">
        <v>1</v>
      </c>
      <c r="C7" s="58" t="s">
        <v>49</v>
      </c>
      <c r="D7" s="58" t="s">
        <v>50</v>
      </c>
      <c r="E7" s="58" t="s">
        <v>51</v>
      </c>
      <c r="F7" s="58" t="s">
        <v>52</v>
      </c>
      <c r="G7" s="62" t="s">
        <v>53</v>
      </c>
      <c r="H7" s="63"/>
      <c r="I7" s="63"/>
    </row>
    <row r="8" ht="26.25" customHeight="1">
      <c r="A8" s="59" t="s">
        <v>58</v>
      </c>
      <c r="B8" s="60" t="s">
        <v>56</v>
      </c>
      <c r="C8" s="14">
        <f t="shared" ref="C8:G8" si="2">(C5/21)/3</f>
        <v>174.6031746</v>
      </c>
      <c r="D8" s="14">
        <f t="shared" si="2"/>
        <v>3.142857143</v>
      </c>
      <c r="E8" s="14">
        <f t="shared" si="2"/>
        <v>1.885714286</v>
      </c>
      <c r="F8" s="14">
        <f t="shared" si="2"/>
        <v>1.508571429</v>
      </c>
      <c r="G8" s="14">
        <f t="shared" si="2"/>
        <v>0.9051428571</v>
      </c>
      <c r="H8" s="63"/>
      <c r="I8" s="64"/>
    </row>
    <row r="9" ht="26.25" customHeight="1"/>
    <row r="10" ht="26.25" customHeight="1">
      <c r="A10" s="63"/>
      <c r="B10" s="63"/>
      <c r="C10" s="64"/>
      <c r="D10" s="63"/>
      <c r="E10" s="63"/>
      <c r="F10" s="63"/>
      <c r="G10" s="63"/>
      <c r="H10" s="63"/>
      <c r="I10" s="63"/>
    </row>
    <row r="11" ht="26.25" customHeight="1">
      <c r="A11" s="63"/>
      <c r="B11" s="63"/>
      <c r="C11" s="63"/>
      <c r="D11" s="63"/>
      <c r="E11" s="63"/>
      <c r="F11" s="63"/>
      <c r="G11" s="63"/>
      <c r="H11" s="63"/>
      <c r="I11" s="63"/>
    </row>
    <row r="12" ht="26.25" customHeight="1">
      <c r="A12" s="63"/>
      <c r="B12" s="63"/>
      <c r="C12" s="63"/>
      <c r="D12" s="63"/>
      <c r="E12" s="63"/>
      <c r="F12" s="63"/>
      <c r="G12" s="63"/>
      <c r="H12" s="63"/>
      <c r="I12" s="63"/>
    </row>
    <row r="13" ht="26.25" customHeight="1">
      <c r="A13" s="63"/>
      <c r="B13" s="63"/>
      <c r="C13" s="63"/>
      <c r="D13" s="63"/>
      <c r="E13" s="63"/>
      <c r="F13" s="63"/>
      <c r="G13" s="63"/>
      <c r="H13" s="63"/>
      <c r="I13" s="63"/>
    </row>
    <row r="14" ht="26.25" customHeight="1">
      <c r="A14" s="63"/>
      <c r="B14" s="63"/>
      <c r="C14" s="63"/>
      <c r="D14" s="63"/>
      <c r="E14" s="63"/>
      <c r="F14" s="63"/>
      <c r="G14" s="63"/>
      <c r="H14" s="63"/>
      <c r="I14" s="63"/>
    </row>
    <row r="15" ht="26.25" customHeight="1">
      <c r="A15" s="63"/>
      <c r="B15" s="63"/>
      <c r="C15" s="63"/>
      <c r="D15" s="63"/>
      <c r="E15" s="63"/>
      <c r="F15" s="63"/>
      <c r="G15" s="63"/>
      <c r="H15" s="63"/>
      <c r="I15" s="63"/>
    </row>
    <row r="16" ht="26.25" customHeight="1">
      <c r="A16" s="63"/>
      <c r="B16" s="63"/>
      <c r="C16" s="63"/>
      <c r="D16" s="63"/>
      <c r="E16" s="63"/>
      <c r="F16" s="63"/>
      <c r="G16" s="63"/>
      <c r="H16" s="63"/>
      <c r="I16" s="63"/>
    </row>
    <row r="17" ht="26.25" customHeight="1">
      <c r="A17" s="63"/>
      <c r="B17" s="63"/>
      <c r="C17" s="63"/>
      <c r="D17" s="63"/>
      <c r="E17" s="63"/>
      <c r="F17" s="63"/>
      <c r="G17" s="63"/>
      <c r="H17" s="63"/>
      <c r="I17" s="63"/>
    </row>
    <row r="18" ht="26.25" customHeight="1">
      <c r="A18" s="63"/>
      <c r="B18" s="63"/>
      <c r="C18" s="63"/>
      <c r="D18" s="63"/>
      <c r="E18" s="63"/>
      <c r="F18" s="63"/>
      <c r="G18" s="63"/>
      <c r="H18" s="63"/>
      <c r="I18" s="63"/>
    </row>
    <row r="19" ht="26.25" customHeight="1">
      <c r="A19" s="63"/>
      <c r="B19" s="63"/>
      <c r="C19" s="63"/>
      <c r="D19" s="63"/>
      <c r="E19" s="63"/>
      <c r="F19" s="63"/>
      <c r="G19" s="63"/>
      <c r="H19" s="63"/>
      <c r="I19" s="63"/>
    </row>
    <row r="20" ht="26.25" customHeight="1">
      <c r="A20" s="63"/>
      <c r="B20" s="63"/>
      <c r="C20" s="63"/>
      <c r="D20" s="63"/>
      <c r="E20" s="63"/>
      <c r="F20" s="63"/>
      <c r="G20" s="63"/>
      <c r="H20" s="63"/>
      <c r="I20" s="63"/>
    </row>
    <row r="21" ht="26.25" customHeight="1"/>
    <row r="22" ht="26.2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3" width="18.88"/>
    <col customWidth="1" min="4" max="4" width="20.38"/>
    <col customWidth="1" min="5" max="5" width="16.0"/>
    <col customWidth="1" min="6" max="6" width="26.13"/>
    <col customWidth="1" min="7" max="8" width="18.88"/>
    <col customWidth="1" min="9" max="9" width="20.38"/>
    <col customWidth="1" min="10" max="10" width="16.0"/>
    <col customWidth="1" min="11" max="11" width="22.63"/>
    <col customWidth="1" min="12" max="12" width="21.25"/>
    <col customWidth="1" min="13" max="13" width="20.13"/>
    <col customWidth="1" min="14" max="14" width="21.75"/>
  </cols>
  <sheetData>
    <row r="1" ht="26.25" customHeight="1">
      <c r="A1" s="65" t="s">
        <v>59</v>
      </c>
      <c r="B1" s="44"/>
      <c r="C1" s="44"/>
      <c r="D1" s="44"/>
      <c r="E1" s="66"/>
      <c r="F1" s="65" t="s">
        <v>60</v>
      </c>
      <c r="G1" s="44"/>
      <c r="H1" s="44"/>
      <c r="I1" s="44"/>
      <c r="J1" s="67"/>
      <c r="K1" s="65" t="s">
        <v>61</v>
      </c>
      <c r="L1" s="44"/>
      <c r="M1" s="44"/>
      <c r="N1" s="4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6.25" customHeight="1">
      <c r="A2" s="68" t="s">
        <v>62</v>
      </c>
      <c r="B2" s="44"/>
      <c r="C2" s="44"/>
      <c r="D2" s="44"/>
      <c r="E2" s="66"/>
      <c r="F2" s="68" t="s">
        <v>63</v>
      </c>
      <c r="G2" s="44"/>
      <c r="H2" s="44"/>
      <c r="I2" s="44"/>
      <c r="J2" s="67"/>
      <c r="K2" s="68" t="s">
        <v>61</v>
      </c>
      <c r="L2" s="44"/>
      <c r="M2" s="44"/>
      <c r="N2" s="44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6.25" customHeight="1">
      <c r="A3" s="47"/>
      <c r="B3" s="69"/>
      <c r="C3" s="69"/>
      <c r="D3" s="69"/>
      <c r="E3" s="66"/>
      <c r="F3" s="47"/>
      <c r="G3" s="69"/>
      <c r="H3" s="69"/>
      <c r="I3" s="69"/>
      <c r="J3" s="67"/>
      <c r="K3" s="47"/>
      <c r="L3" s="69"/>
      <c r="M3" s="69"/>
      <c r="N3" s="69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6.25" customHeight="1">
      <c r="A4" s="70" t="s">
        <v>57</v>
      </c>
      <c r="B4" s="71" t="s">
        <v>64</v>
      </c>
      <c r="C4" s="71" t="s">
        <v>65</v>
      </c>
      <c r="D4" s="71" t="s">
        <v>66</v>
      </c>
      <c r="E4" s="7"/>
      <c r="F4" s="70" t="s">
        <v>57</v>
      </c>
      <c r="G4" s="71" t="s">
        <v>64</v>
      </c>
      <c r="H4" s="71" t="s">
        <v>65</v>
      </c>
      <c r="I4" s="71" t="s">
        <v>66</v>
      </c>
      <c r="J4" s="67"/>
      <c r="K4" s="70" t="s">
        <v>57</v>
      </c>
      <c r="L4" s="71" t="s">
        <v>64</v>
      </c>
      <c r="M4" s="71" t="s">
        <v>65</v>
      </c>
      <c r="N4" s="71" t="s">
        <v>66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6.25" customHeight="1">
      <c r="A5" s="72" t="s">
        <v>11</v>
      </c>
      <c r="B5" s="73">
        <v>6000.0</v>
      </c>
      <c r="C5" s="74"/>
      <c r="D5" s="74"/>
      <c r="E5" s="7"/>
      <c r="F5" s="72" t="s">
        <v>11</v>
      </c>
      <c r="G5" s="73">
        <v>78000.0</v>
      </c>
      <c r="H5" s="74"/>
      <c r="I5" s="74"/>
      <c r="J5" s="67"/>
      <c r="K5" s="72" t="s">
        <v>11</v>
      </c>
      <c r="L5" s="73"/>
      <c r="M5" s="74"/>
      <c r="N5" s="7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6.25" customHeight="1">
      <c r="A6" s="72" t="s">
        <v>67</v>
      </c>
      <c r="B6" s="73">
        <v>0.0</v>
      </c>
      <c r="C6" s="74"/>
      <c r="D6" s="74"/>
      <c r="E6" s="7"/>
      <c r="F6" s="72" t="s">
        <v>67</v>
      </c>
      <c r="G6" s="73">
        <v>0.0</v>
      </c>
      <c r="H6" s="74"/>
      <c r="I6" s="74"/>
      <c r="J6" s="67"/>
      <c r="K6" s="72" t="s">
        <v>67</v>
      </c>
      <c r="L6" s="73"/>
      <c r="M6" s="74"/>
      <c r="N6" s="74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6.25" customHeight="1">
      <c r="A7" s="75" t="s">
        <v>68</v>
      </c>
      <c r="B7" s="76">
        <f>IFERROR(B2/B15, 0)</f>
        <v>0</v>
      </c>
      <c r="C7" s="76"/>
      <c r="D7" s="76"/>
      <c r="E7" s="7"/>
      <c r="F7" s="75" t="s">
        <v>68</v>
      </c>
      <c r="G7" s="76">
        <f>IFERROR(G2/G15, 0)</f>
        <v>0</v>
      </c>
      <c r="H7" s="76"/>
      <c r="I7" s="76"/>
      <c r="J7" s="67"/>
      <c r="K7" s="75" t="s">
        <v>68</v>
      </c>
      <c r="L7" s="76">
        <f>IFERROR(L2/L15, 0)</f>
        <v>0</v>
      </c>
      <c r="M7" s="76"/>
      <c r="N7" s="7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6.25" customHeight="1">
      <c r="A8" s="75" t="s">
        <v>16</v>
      </c>
      <c r="B8" s="77" t="str">
        <f>IFERROR(B5/B6,"")</f>
        <v/>
      </c>
      <c r="C8" s="77"/>
      <c r="D8" s="78"/>
      <c r="E8" s="7"/>
      <c r="F8" s="75" t="s">
        <v>16</v>
      </c>
      <c r="G8" s="77" t="str">
        <f>IFERROR(G5/G6,"")</f>
        <v/>
      </c>
      <c r="H8" s="77"/>
      <c r="I8" s="78"/>
      <c r="J8" s="67"/>
      <c r="K8" s="75" t="s">
        <v>16</v>
      </c>
      <c r="L8" s="77" t="str">
        <f>IFERROR(L5/L6,"")</f>
        <v/>
      </c>
      <c r="M8" s="77"/>
      <c r="N8" s="7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6.25" customHeight="1">
      <c r="A9" s="47"/>
      <c r="B9" s="47"/>
      <c r="C9" s="47"/>
      <c r="D9" s="47"/>
      <c r="E9" s="7"/>
      <c r="F9" s="47"/>
      <c r="G9" s="47"/>
      <c r="H9" s="47"/>
      <c r="I9" s="47"/>
      <c r="J9" s="67"/>
      <c r="K9" s="47"/>
      <c r="L9" s="47"/>
      <c r="M9" s="47"/>
      <c r="N9" s="4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6.25" customHeight="1">
      <c r="A10" s="70" t="s">
        <v>69</v>
      </c>
      <c r="B10" s="71" t="s">
        <v>64</v>
      </c>
      <c r="C10" s="71" t="s">
        <v>65</v>
      </c>
      <c r="D10" s="71" t="s">
        <v>66</v>
      </c>
      <c r="E10" s="7"/>
      <c r="F10" s="70" t="s">
        <v>69</v>
      </c>
      <c r="G10" s="71" t="s">
        <v>64</v>
      </c>
      <c r="H10" s="71" t="s">
        <v>65</v>
      </c>
      <c r="I10" s="71" t="s">
        <v>66</v>
      </c>
      <c r="J10" s="67"/>
      <c r="K10" s="70" t="s">
        <v>69</v>
      </c>
      <c r="L10" s="71" t="s">
        <v>64</v>
      </c>
      <c r="M10" s="71" t="s">
        <v>65</v>
      </c>
      <c r="N10" s="71" t="s">
        <v>66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6.25" customHeight="1">
      <c r="A11" s="72" t="s">
        <v>70</v>
      </c>
      <c r="B11" s="79"/>
      <c r="C11" s="80"/>
      <c r="D11" s="80"/>
      <c r="E11" s="7"/>
      <c r="F11" s="72" t="s">
        <v>70</v>
      </c>
      <c r="G11" s="81">
        <v>0.0</v>
      </c>
      <c r="H11" s="80"/>
      <c r="I11" s="80"/>
      <c r="J11" s="67"/>
      <c r="K11" s="72" t="s">
        <v>70</v>
      </c>
      <c r="L11" s="79" t="str">
        <f>N12/L12</f>
        <v>#DIV/0!</v>
      </c>
      <c r="M11" s="80"/>
      <c r="N11" s="8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6.25" customHeight="1">
      <c r="A12" s="72" t="s">
        <v>71</v>
      </c>
      <c r="B12" s="57">
        <v>0.0</v>
      </c>
      <c r="C12" s="82"/>
      <c r="D12" s="82"/>
      <c r="E12" s="7"/>
      <c r="F12" s="72" t="s">
        <v>71</v>
      </c>
      <c r="G12" s="57">
        <v>0.0</v>
      </c>
      <c r="H12" s="82"/>
      <c r="I12" s="82"/>
      <c r="J12" s="67"/>
      <c r="K12" s="72" t="s">
        <v>71</v>
      </c>
      <c r="L12" s="57"/>
      <c r="M12" s="82"/>
      <c r="N12" s="82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6.25" customHeight="1">
      <c r="A13" s="72" t="s">
        <v>72</v>
      </c>
      <c r="B13" s="57">
        <v>0.0</v>
      </c>
      <c r="C13" s="82"/>
      <c r="D13" s="82"/>
      <c r="E13" s="7"/>
      <c r="F13" s="72" t="s">
        <v>72</v>
      </c>
      <c r="G13" s="57">
        <v>0.0</v>
      </c>
      <c r="H13" s="82"/>
      <c r="I13" s="82"/>
      <c r="J13" s="67"/>
      <c r="K13" s="72" t="s">
        <v>72</v>
      </c>
      <c r="L13" s="57"/>
      <c r="M13" s="82"/>
      <c r="N13" s="82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6.25" customHeight="1">
      <c r="A14" s="72" t="s">
        <v>73</v>
      </c>
      <c r="B14" s="83">
        <v>20.0</v>
      </c>
      <c r="C14" s="84"/>
      <c r="D14" s="84"/>
      <c r="E14" s="7"/>
      <c r="F14" s="72" t="s">
        <v>73</v>
      </c>
      <c r="G14" s="83">
        <v>80.0</v>
      </c>
      <c r="H14" s="84"/>
      <c r="I14" s="84"/>
      <c r="J14" s="67"/>
      <c r="K14" s="72" t="s">
        <v>73</v>
      </c>
      <c r="L14" s="83" t="str">
        <f>L12/L13</f>
        <v>#DIV/0!</v>
      </c>
      <c r="M14" s="84"/>
      <c r="N14" s="8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6.25" customHeight="1">
      <c r="A15" s="72" t="s">
        <v>74</v>
      </c>
      <c r="B15" s="83">
        <f>B14/15</f>
        <v>1.333333333</v>
      </c>
      <c r="C15" s="84"/>
      <c r="D15" s="84"/>
      <c r="E15" s="7"/>
      <c r="F15" s="72" t="s">
        <v>74</v>
      </c>
      <c r="G15" s="83">
        <f>G14/15</f>
        <v>5.333333333</v>
      </c>
      <c r="H15" s="84"/>
      <c r="I15" s="84"/>
      <c r="J15" s="67"/>
      <c r="K15" s="72" t="s">
        <v>74</v>
      </c>
      <c r="L15" s="83" t="str">
        <f>L14/15</f>
        <v>#DIV/0!</v>
      </c>
      <c r="M15" s="84"/>
      <c r="N15" s="8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6.25" customHeight="1">
      <c r="A16" s="72" t="s">
        <v>75</v>
      </c>
      <c r="B16" s="85">
        <f>B14*B19</f>
        <v>17</v>
      </c>
      <c r="C16" s="84"/>
      <c r="D16" s="84"/>
      <c r="E16" s="7"/>
      <c r="F16" s="72" t="s">
        <v>75</v>
      </c>
      <c r="G16" s="85">
        <f>G14*G19</f>
        <v>68</v>
      </c>
      <c r="H16" s="84"/>
      <c r="I16" s="84"/>
      <c r="J16" s="67"/>
      <c r="K16" s="72" t="s">
        <v>75</v>
      </c>
      <c r="L16" s="85" t="str">
        <f>L14*L19</f>
        <v>#DIV/0!</v>
      </c>
      <c r="M16" s="84"/>
      <c r="N16" s="8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6.25" customHeight="1">
      <c r="A17" s="72" t="s">
        <v>76</v>
      </c>
      <c r="B17" s="83">
        <f>B16*B18</f>
        <v>12.75</v>
      </c>
      <c r="C17" s="84"/>
      <c r="D17" s="84"/>
      <c r="E17" s="7"/>
      <c r="F17" s="72" t="s">
        <v>76</v>
      </c>
      <c r="G17" s="83">
        <f>G16*G18</f>
        <v>51</v>
      </c>
      <c r="H17" s="84"/>
      <c r="I17" s="84"/>
      <c r="J17" s="67"/>
      <c r="K17" s="72" t="s">
        <v>76</v>
      </c>
      <c r="L17" s="83" t="str">
        <f>L16*L18</f>
        <v>#DIV/0!</v>
      </c>
      <c r="M17" s="84"/>
      <c r="N17" s="84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6.25" customHeight="1">
      <c r="A18" s="72" t="s">
        <v>77</v>
      </c>
      <c r="B18" s="55">
        <v>0.75</v>
      </c>
      <c r="C18" s="84"/>
      <c r="D18" s="84"/>
      <c r="E18" s="7"/>
      <c r="F18" s="72" t="s">
        <v>77</v>
      </c>
      <c r="G18" s="55">
        <v>0.75</v>
      </c>
      <c r="H18" s="84"/>
      <c r="I18" s="84"/>
      <c r="J18" s="67"/>
      <c r="K18" s="72" t="s">
        <v>77</v>
      </c>
      <c r="L18" s="55"/>
      <c r="M18" s="84"/>
      <c r="N18" s="8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6.25" customHeight="1">
      <c r="A19" s="72" t="s">
        <v>78</v>
      </c>
      <c r="B19" s="55">
        <v>0.85</v>
      </c>
      <c r="C19" s="84"/>
      <c r="D19" s="84"/>
      <c r="E19" s="7"/>
      <c r="F19" s="72" t="s">
        <v>78</v>
      </c>
      <c r="G19" s="55">
        <v>0.85</v>
      </c>
      <c r="H19" s="84"/>
      <c r="I19" s="84"/>
      <c r="J19" s="67"/>
      <c r="K19" s="72" t="s">
        <v>78</v>
      </c>
      <c r="L19" s="55"/>
      <c r="M19" s="84"/>
      <c r="N19" s="8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6.25" customHeight="1">
      <c r="A20" s="72" t="s">
        <v>79</v>
      </c>
      <c r="B20" s="55">
        <v>0.2</v>
      </c>
      <c r="C20" s="80"/>
      <c r="D20" s="80"/>
      <c r="E20" s="7"/>
      <c r="F20" s="72" t="s">
        <v>79</v>
      </c>
      <c r="G20" s="55">
        <v>0.2</v>
      </c>
      <c r="H20" s="80"/>
      <c r="I20" s="80"/>
      <c r="J20" s="67"/>
      <c r="K20" s="72" t="s">
        <v>79</v>
      </c>
      <c r="L20" s="55"/>
      <c r="M20" s="80"/>
      <c r="N20" s="80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6.25" customHeight="1">
      <c r="A21" s="72" t="s">
        <v>14</v>
      </c>
      <c r="B21" s="83">
        <f>ROUNDDOWN(B17*B20,0)</f>
        <v>2</v>
      </c>
      <c r="C21" s="84"/>
      <c r="D21" s="84"/>
      <c r="E21" s="7"/>
      <c r="F21" s="72" t="s">
        <v>14</v>
      </c>
      <c r="G21" s="83">
        <f>ROUNDDOWN(G17*G20,0)</f>
        <v>10</v>
      </c>
      <c r="H21" s="84"/>
      <c r="I21" s="84"/>
      <c r="J21" s="67"/>
      <c r="K21" s="72" t="s">
        <v>14</v>
      </c>
      <c r="L21" s="83" t="str">
        <f>ROUNDDOWN(L17*L20,0)</f>
        <v>#DIV/0!</v>
      </c>
      <c r="M21" s="84"/>
      <c r="N21" s="8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6.25" customHeight="1">
      <c r="A22" s="72" t="s">
        <v>80</v>
      </c>
      <c r="B22" s="57">
        <v>6000.0</v>
      </c>
      <c r="C22" s="82"/>
      <c r="D22" s="82"/>
      <c r="E22" s="7"/>
      <c r="F22" s="72" t="s">
        <v>80</v>
      </c>
      <c r="G22" s="57">
        <v>6000.0</v>
      </c>
      <c r="H22" s="82"/>
      <c r="I22" s="82"/>
      <c r="J22" s="67"/>
      <c r="K22" s="72" t="s">
        <v>80</v>
      </c>
      <c r="L22" s="57"/>
      <c r="M22" s="82"/>
      <c r="N22" s="8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6.25" customHeight="1">
      <c r="A23" s="72" t="s">
        <v>54</v>
      </c>
      <c r="B23" s="86">
        <f>B22*B21</f>
        <v>12000</v>
      </c>
      <c r="C23" s="80"/>
      <c r="D23" s="80"/>
      <c r="E23" s="7"/>
      <c r="F23" s="72" t="s">
        <v>54</v>
      </c>
      <c r="G23" s="86">
        <f>G22*G21</f>
        <v>60000</v>
      </c>
      <c r="H23" s="80"/>
      <c r="I23" s="80"/>
      <c r="J23" s="67"/>
      <c r="K23" s="72" t="s">
        <v>54</v>
      </c>
      <c r="L23" s="86" t="str">
        <f>L22*L21</f>
        <v>#DIV/0!</v>
      </c>
      <c r="M23" s="80"/>
      <c r="N23" s="80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6.25" customHeight="1">
      <c r="A24" s="47"/>
      <c r="B24" s="69"/>
      <c r="C24" s="69"/>
      <c r="D24" s="69"/>
      <c r="E24" s="7"/>
      <c r="F24" s="47"/>
      <c r="G24" s="69"/>
      <c r="H24" s="69"/>
      <c r="I24" s="69"/>
      <c r="J24" s="67"/>
      <c r="K24" s="47"/>
      <c r="L24" s="69"/>
      <c r="M24" s="69"/>
      <c r="N24" s="69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6.2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70" t="s">
        <v>81</v>
      </c>
      <c r="L25" s="71" t="s">
        <v>64</v>
      </c>
      <c r="M25" s="71" t="s">
        <v>65</v>
      </c>
      <c r="N25" s="71" t="s">
        <v>66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6.2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72" t="s">
        <v>70</v>
      </c>
      <c r="L26" s="79" t="str">
        <f>IFERROR(N27/L27,"-")</f>
        <v>-</v>
      </c>
      <c r="M26" s="87"/>
      <c r="N26" s="8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6.2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72" t="s">
        <v>71</v>
      </c>
      <c r="L27" s="86">
        <v>0.0</v>
      </c>
      <c r="M27" s="74"/>
      <c r="N27" s="7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6.2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72" t="s">
        <v>82</v>
      </c>
      <c r="L28" s="74"/>
      <c r="M28" s="76"/>
      <c r="N28" s="7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6.2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72" t="s">
        <v>83</v>
      </c>
      <c r="L29" s="78" t="str">
        <f>IFERROR(L27/L28,"-")</f>
        <v>-</v>
      </c>
      <c r="M29" s="78"/>
      <c r="N29" s="88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6.2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72" t="s">
        <v>80</v>
      </c>
      <c r="L30" s="74"/>
      <c r="M30" s="74"/>
      <c r="N30" s="7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6.2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72" t="s">
        <v>84</v>
      </c>
      <c r="L31" s="76"/>
      <c r="M31" s="74"/>
      <c r="N31" s="7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6.25" customHeight="1">
      <c r="A32" s="7"/>
      <c r="B32" s="7"/>
      <c r="C32" s="7"/>
      <c r="D32" s="7"/>
      <c r="E32" s="7"/>
      <c r="F32" s="7"/>
      <c r="G32" s="7"/>
      <c r="H32" s="7"/>
      <c r="I32" s="7"/>
      <c r="J32" s="6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6.25" customHeight="1">
      <c r="A33" s="7"/>
      <c r="B33" s="7"/>
      <c r="C33" s="7"/>
      <c r="D33" s="7"/>
      <c r="E33" s="7"/>
      <c r="F33" s="7"/>
      <c r="G33" s="7"/>
      <c r="H33" s="7"/>
      <c r="I33" s="7"/>
      <c r="J33" s="6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6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6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6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</sheetData>
  <mergeCells count="6">
    <mergeCell ref="A1:D1"/>
    <mergeCell ref="F1:I1"/>
    <mergeCell ref="K1:N1"/>
    <mergeCell ref="A2:D2"/>
    <mergeCell ref="F2:I2"/>
    <mergeCell ref="K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63"/>
    <col customWidth="1" min="3" max="3" width="19.63"/>
    <col customWidth="1" min="4" max="12" width="16.38"/>
  </cols>
  <sheetData>
    <row r="1" ht="26.25" customHeight="1">
      <c r="A1" s="89" t="s">
        <v>0</v>
      </c>
      <c r="B1" s="89" t="s">
        <v>85</v>
      </c>
      <c r="C1" s="90" t="s">
        <v>1</v>
      </c>
      <c r="D1" s="91" t="s">
        <v>86</v>
      </c>
      <c r="E1" s="91" t="s">
        <v>87</v>
      </c>
      <c r="F1" s="92" t="s">
        <v>88</v>
      </c>
      <c r="G1" s="93" t="s">
        <v>89</v>
      </c>
      <c r="H1" s="93" t="s">
        <v>90</v>
      </c>
      <c r="I1" s="94" t="s">
        <v>91</v>
      </c>
      <c r="J1" s="93" t="s">
        <v>92</v>
      </c>
      <c r="K1" s="93" t="s">
        <v>93</v>
      </c>
      <c r="L1" s="91" t="s">
        <v>18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6.25" customHeight="1">
      <c r="A2" s="95">
        <v>1.0</v>
      </c>
      <c r="B2" s="96" t="s">
        <v>94</v>
      </c>
      <c r="C2" s="97" t="s">
        <v>95</v>
      </c>
      <c r="D2" s="98">
        <v>300000.0</v>
      </c>
      <c r="E2" s="98">
        <v>50000.0</v>
      </c>
      <c r="F2" s="99">
        <f t="shared" ref="F2:F3" si="1">D2/E2</f>
        <v>6</v>
      </c>
      <c r="G2" s="100"/>
      <c r="H2" s="101">
        <v>0.0</v>
      </c>
      <c r="I2" s="102" t="str">
        <f t="shared" ref="I2:I5" si="2">IFERROR(D2/H2,"-")</f>
        <v>-</v>
      </c>
      <c r="J2" s="103">
        <f t="shared" ref="J2:J5" si="3">IFERROR(H2/E2,"-")</f>
        <v>0</v>
      </c>
      <c r="K2" s="101">
        <v>0.0</v>
      </c>
      <c r="L2" s="104" t="s">
        <v>96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6.25" customHeight="1">
      <c r="A3" s="105"/>
      <c r="B3" s="96" t="s">
        <v>97</v>
      </c>
      <c r="C3" s="97" t="s">
        <v>98</v>
      </c>
      <c r="D3" s="98">
        <v>200000.0</v>
      </c>
      <c r="E3" s="98">
        <v>50000.0</v>
      </c>
      <c r="F3" s="99">
        <f t="shared" si="1"/>
        <v>4</v>
      </c>
      <c r="G3" s="100"/>
      <c r="H3" s="101">
        <v>0.0</v>
      </c>
      <c r="I3" s="102" t="str">
        <f t="shared" si="2"/>
        <v>-</v>
      </c>
      <c r="J3" s="103">
        <f t="shared" si="3"/>
        <v>0</v>
      </c>
      <c r="K3" s="101">
        <v>0.0</v>
      </c>
      <c r="L3" s="104" t="s">
        <v>96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6.25" customHeight="1">
      <c r="A4" s="105"/>
      <c r="B4" s="106" t="s">
        <v>99</v>
      </c>
      <c r="C4" s="107" t="s">
        <v>100</v>
      </c>
      <c r="D4" s="101" t="s">
        <v>101</v>
      </c>
      <c r="E4" s="101"/>
      <c r="F4" s="99"/>
      <c r="G4" s="100"/>
      <c r="H4" s="101">
        <v>0.0</v>
      </c>
      <c r="I4" s="102" t="str">
        <f t="shared" si="2"/>
        <v>-</v>
      </c>
      <c r="J4" s="103" t="str">
        <f t="shared" si="3"/>
        <v>-</v>
      </c>
      <c r="K4" s="101">
        <v>0.0</v>
      </c>
      <c r="L4" s="104" t="s">
        <v>96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6.25" customHeight="1">
      <c r="A5" s="41"/>
      <c r="B5" s="106" t="s">
        <v>99</v>
      </c>
      <c r="C5" s="107" t="s">
        <v>100</v>
      </c>
      <c r="D5" s="101" t="s">
        <v>101</v>
      </c>
      <c r="E5" s="101"/>
      <c r="F5" s="99"/>
      <c r="G5" s="100"/>
      <c r="H5" s="101">
        <v>0.0</v>
      </c>
      <c r="I5" s="102" t="str">
        <f t="shared" si="2"/>
        <v>-</v>
      </c>
      <c r="J5" s="103" t="str">
        <f t="shared" si="3"/>
        <v>-</v>
      </c>
      <c r="K5" s="101">
        <v>0.0</v>
      </c>
      <c r="L5" s="104" t="s">
        <v>96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47"/>
      <c r="B6" s="47"/>
      <c r="C6" s="47"/>
      <c r="D6" s="47"/>
      <c r="E6" s="47"/>
      <c r="F6" s="108"/>
      <c r="G6" s="47"/>
      <c r="H6" s="47"/>
      <c r="I6" s="47"/>
      <c r="J6" s="47"/>
      <c r="K6" s="47"/>
      <c r="L6" s="4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6.25" customHeight="1">
      <c r="A7" s="109" t="s">
        <v>21</v>
      </c>
      <c r="B7" s="95" t="s">
        <v>94</v>
      </c>
      <c r="C7" s="97" t="s">
        <v>102</v>
      </c>
      <c r="D7" s="98">
        <v>100000.0</v>
      </c>
      <c r="E7" s="98">
        <v>30000.0</v>
      </c>
      <c r="F7" s="110">
        <f t="shared" ref="F7:F26" si="4">IFERROR(D7/E7,"-")</f>
        <v>3.333333333</v>
      </c>
      <c r="G7" s="101"/>
      <c r="H7" s="101"/>
      <c r="I7" s="102" t="str">
        <f t="shared" ref="I7:I10" si="5">IFERROR(G7/H7,"-")</f>
        <v>-</v>
      </c>
      <c r="J7" s="103">
        <f t="shared" ref="J7:J10" si="6">IFERROR(H7/E7,"-")</f>
        <v>0</v>
      </c>
      <c r="K7" s="101"/>
      <c r="L7" s="11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6.25" customHeight="1">
      <c r="A8" s="105"/>
      <c r="B8" s="105"/>
      <c r="C8" s="97" t="s">
        <v>103</v>
      </c>
      <c r="D8" s="98">
        <v>50000.0</v>
      </c>
      <c r="E8" s="98">
        <v>15000.0</v>
      </c>
      <c r="F8" s="110">
        <f t="shared" si="4"/>
        <v>3.333333333</v>
      </c>
      <c r="G8" s="101"/>
      <c r="H8" s="101"/>
      <c r="I8" s="102" t="str">
        <f t="shared" si="5"/>
        <v>-</v>
      </c>
      <c r="J8" s="103">
        <f t="shared" si="6"/>
        <v>0</v>
      </c>
      <c r="K8" s="101"/>
      <c r="L8" s="11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6.25" customHeight="1">
      <c r="A9" s="105"/>
      <c r="B9" s="105"/>
      <c r="C9" s="97" t="s">
        <v>104</v>
      </c>
      <c r="D9" s="98">
        <v>100000.0</v>
      </c>
      <c r="E9" s="98">
        <v>20000.0</v>
      </c>
      <c r="F9" s="110">
        <f t="shared" si="4"/>
        <v>5</v>
      </c>
      <c r="G9" s="101"/>
      <c r="H9" s="101"/>
      <c r="I9" s="102" t="str">
        <f t="shared" si="5"/>
        <v>-</v>
      </c>
      <c r="J9" s="103">
        <f t="shared" si="6"/>
        <v>0</v>
      </c>
      <c r="K9" s="101"/>
      <c r="L9" s="11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6.25" customHeight="1">
      <c r="A10" s="105"/>
      <c r="B10" s="105"/>
      <c r="C10" s="97" t="s">
        <v>105</v>
      </c>
      <c r="D10" s="98">
        <v>360000.0</v>
      </c>
      <c r="E10" s="98">
        <v>20000.0</v>
      </c>
      <c r="F10" s="110">
        <f t="shared" si="4"/>
        <v>18</v>
      </c>
      <c r="G10" s="101"/>
      <c r="H10" s="101"/>
      <c r="I10" s="102" t="str">
        <f t="shared" si="5"/>
        <v>-</v>
      </c>
      <c r="J10" s="103">
        <f t="shared" si="6"/>
        <v>0</v>
      </c>
      <c r="K10" s="101"/>
      <c r="L10" s="11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6.25" customHeight="1">
      <c r="A11" s="105"/>
      <c r="B11" s="105"/>
      <c r="C11" s="113" t="s">
        <v>106</v>
      </c>
      <c r="D11" s="114">
        <v>60000.0</v>
      </c>
      <c r="E11" s="114">
        <v>15000.0</v>
      </c>
      <c r="F11" s="110">
        <f t="shared" si="4"/>
        <v>4</v>
      </c>
      <c r="G11" s="101"/>
      <c r="H11" s="101"/>
      <c r="I11" s="102"/>
      <c r="J11" s="103"/>
      <c r="K11" s="101"/>
      <c r="L11" s="11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6.25" customHeight="1">
      <c r="A12" s="105"/>
      <c r="B12" s="105"/>
      <c r="C12" s="115" t="s">
        <v>107</v>
      </c>
      <c r="D12" s="116">
        <v>100000.0</v>
      </c>
      <c r="E12" s="116">
        <v>20000.0</v>
      </c>
      <c r="F12" s="110">
        <f t="shared" si="4"/>
        <v>5</v>
      </c>
      <c r="G12" s="101"/>
      <c r="H12" s="101"/>
      <c r="I12" s="102" t="str">
        <f>IFERROR(G12/H12,"-")</f>
        <v>-</v>
      </c>
      <c r="J12" s="103">
        <f>IFERROR(H12/E12,"-")</f>
        <v>0</v>
      </c>
      <c r="K12" s="101"/>
      <c r="L12" s="11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6.25" customHeight="1">
      <c r="A13" s="105"/>
      <c r="B13" s="41"/>
      <c r="C13" s="117" t="s">
        <v>108</v>
      </c>
      <c r="D13" s="98">
        <v>20000.0</v>
      </c>
      <c r="E13" s="98">
        <v>6000.0</v>
      </c>
      <c r="F13" s="110">
        <f t="shared" si="4"/>
        <v>3.333333333</v>
      </c>
      <c r="G13" s="101"/>
      <c r="H13" s="101"/>
      <c r="I13" s="102"/>
      <c r="J13" s="103"/>
      <c r="K13" s="101"/>
      <c r="L13" s="11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6.25" customHeight="1">
      <c r="A14" s="105"/>
      <c r="B14" s="118" t="s">
        <v>97</v>
      </c>
      <c r="C14" s="97" t="s">
        <v>109</v>
      </c>
      <c r="D14" s="98">
        <v>200000.0</v>
      </c>
      <c r="E14" s="98">
        <v>20000.0</v>
      </c>
      <c r="F14" s="110">
        <f t="shared" si="4"/>
        <v>10</v>
      </c>
      <c r="G14" s="101"/>
      <c r="H14" s="101"/>
      <c r="I14" s="102" t="str">
        <f t="shared" ref="I14:I24" si="7">IFERROR(G14/H14,"-")</f>
        <v>-</v>
      </c>
      <c r="J14" s="103">
        <f t="shared" ref="J14:J24" si="8">IFERROR(H14/E14,"-")</f>
        <v>0</v>
      </c>
      <c r="K14" s="101"/>
      <c r="L14" s="11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6.25" customHeight="1">
      <c r="A15" s="105"/>
      <c r="B15" s="105"/>
      <c r="C15" s="97" t="s">
        <v>110</v>
      </c>
      <c r="D15" s="98">
        <v>900000.0</v>
      </c>
      <c r="E15" s="98">
        <v>300000.0</v>
      </c>
      <c r="F15" s="110">
        <f t="shared" si="4"/>
        <v>3</v>
      </c>
      <c r="G15" s="101"/>
      <c r="H15" s="101"/>
      <c r="I15" s="102" t="str">
        <f t="shared" si="7"/>
        <v>-</v>
      </c>
      <c r="J15" s="103">
        <f t="shared" si="8"/>
        <v>0</v>
      </c>
      <c r="K15" s="101"/>
      <c r="L15" s="11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6.25" customHeight="1">
      <c r="A16" s="105"/>
      <c r="B16" s="105"/>
      <c r="C16" s="97" t="s">
        <v>111</v>
      </c>
      <c r="D16" s="98">
        <v>150000.0</v>
      </c>
      <c r="E16" s="98">
        <v>50000.0</v>
      </c>
      <c r="F16" s="110">
        <f t="shared" si="4"/>
        <v>3</v>
      </c>
      <c r="G16" s="101"/>
      <c r="H16" s="101"/>
      <c r="I16" s="102" t="str">
        <f t="shared" si="7"/>
        <v>-</v>
      </c>
      <c r="J16" s="103">
        <f t="shared" si="8"/>
        <v>0</v>
      </c>
      <c r="K16" s="101"/>
      <c r="L16" s="11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6.25" customHeight="1">
      <c r="A17" s="105"/>
      <c r="B17" s="105"/>
      <c r="C17" s="97" t="s">
        <v>112</v>
      </c>
      <c r="D17" s="98">
        <v>50000.0</v>
      </c>
      <c r="E17" s="98">
        <v>5000.0</v>
      </c>
      <c r="F17" s="110">
        <f t="shared" si="4"/>
        <v>10</v>
      </c>
      <c r="G17" s="101"/>
      <c r="H17" s="101"/>
      <c r="I17" s="102" t="str">
        <f t="shared" si="7"/>
        <v>-</v>
      </c>
      <c r="J17" s="103">
        <f t="shared" si="8"/>
        <v>0</v>
      </c>
      <c r="K17" s="101"/>
      <c r="L17" s="10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6.25" customHeight="1">
      <c r="A18" s="105"/>
      <c r="B18" s="105"/>
      <c r="C18" s="107" t="s">
        <v>100</v>
      </c>
      <c r="D18" s="101"/>
      <c r="E18" s="101"/>
      <c r="F18" s="110" t="str">
        <f t="shared" si="4"/>
        <v>-</v>
      </c>
      <c r="G18" s="101"/>
      <c r="H18" s="101"/>
      <c r="I18" s="102" t="str">
        <f t="shared" si="7"/>
        <v>-</v>
      </c>
      <c r="J18" s="103" t="str">
        <f t="shared" si="8"/>
        <v>-</v>
      </c>
      <c r="K18" s="101"/>
      <c r="L18" s="11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6.25" customHeight="1">
      <c r="A19" s="105"/>
      <c r="B19" s="105"/>
      <c r="C19" s="107" t="s">
        <v>100</v>
      </c>
      <c r="D19" s="101"/>
      <c r="E19" s="101"/>
      <c r="F19" s="110" t="str">
        <f t="shared" si="4"/>
        <v>-</v>
      </c>
      <c r="G19" s="101"/>
      <c r="H19" s="101"/>
      <c r="I19" s="102" t="str">
        <f t="shared" si="7"/>
        <v>-</v>
      </c>
      <c r="J19" s="103" t="str">
        <f t="shared" si="8"/>
        <v>-</v>
      </c>
      <c r="K19" s="101"/>
      <c r="L19" s="11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6.25" customHeight="1">
      <c r="A20" s="105"/>
      <c r="B20" s="105"/>
      <c r="C20" s="107" t="s">
        <v>100</v>
      </c>
      <c r="D20" s="101"/>
      <c r="E20" s="101"/>
      <c r="F20" s="110" t="str">
        <f t="shared" si="4"/>
        <v>-</v>
      </c>
      <c r="G20" s="101"/>
      <c r="H20" s="101"/>
      <c r="I20" s="102" t="str">
        <f t="shared" si="7"/>
        <v>-</v>
      </c>
      <c r="J20" s="103" t="str">
        <f t="shared" si="8"/>
        <v>-</v>
      </c>
      <c r="K20" s="101"/>
      <c r="L20" s="10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6.25" customHeight="1">
      <c r="A21" s="105"/>
      <c r="B21" s="105"/>
      <c r="C21" s="107" t="s">
        <v>100</v>
      </c>
      <c r="D21" s="101"/>
      <c r="E21" s="101"/>
      <c r="F21" s="110" t="str">
        <f t="shared" si="4"/>
        <v>-</v>
      </c>
      <c r="G21" s="101"/>
      <c r="H21" s="101"/>
      <c r="I21" s="102" t="str">
        <f t="shared" si="7"/>
        <v>-</v>
      </c>
      <c r="J21" s="103" t="str">
        <f t="shared" si="8"/>
        <v>-</v>
      </c>
      <c r="K21" s="101"/>
      <c r="L21" s="10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6.25" customHeight="1">
      <c r="A22" s="105"/>
      <c r="B22" s="105"/>
      <c r="C22" s="107" t="s">
        <v>100</v>
      </c>
      <c r="D22" s="101"/>
      <c r="E22" s="101"/>
      <c r="F22" s="110" t="str">
        <f t="shared" si="4"/>
        <v>-</v>
      </c>
      <c r="G22" s="101"/>
      <c r="H22" s="101"/>
      <c r="I22" s="102" t="str">
        <f t="shared" si="7"/>
        <v>-</v>
      </c>
      <c r="J22" s="103" t="str">
        <f t="shared" si="8"/>
        <v>-</v>
      </c>
      <c r="K22" s="101"/>
      <c r="L22" s="10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6.25" customHeight="1">
      <c r="A23" s="105"/>
      <c r="B23" s="105"/>
      <c r="C23" s="107" t="s">
        <v>100</v>
      </c>
      <c r="D23" s="101"/>
      <c r="E23" s="101"/>
      <c r="F23" s="110" t="str">
        <f t="shared" si="4"/>
        <v>-</v>
      </c>
      <c r="G23" s="101"/>
      <c r="H23" s="101"/>
      <c r="I23" s="102" t="str">
        <f t="shared" si="7"/>
        <v>-</v>
      </c>
      <c r="J23" s="103" t="str">
        <f t="shared" si="8"/>
        <v>-</v>
      </c>
      <c r="K23" s="101"/>
      <c r="L23" s="10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6.25" customHeight="1">
      <c r="A24" s="105"/>
      <c r="B24" s="105"/>
      <c r="C24" s="107" t="s">
        <v>100</v>
      </c>
      <c r="D24" s="101"/>
      <c r="E24" s="101"/>
      <c r="F24" s="110" t="str">
        <f t="shared" si="4"/>
        <v>-</v>
      </c>
      <c r="G24" s="101"/>
      <c r="H24" s="101"/>
      <c r="I24" s="102" t="str">
        <f t="shared" si="7"/>
        <v>-</v>
      </c>
      <c r="J24" s="103" t="str">
        <f t="shared" si="8"/>
        <v>-</v>
      </c>
      <c r="K24" s="101"/>
      <c r="L24" s="104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6.25" customHeight="1">
      <c r="A25" s="105"/>
      <c r="B25" s="105"/>
      <c r="C25" s="107" t="s">
        <v>100</v>
      </c>
      <c r="D25" s="101"/>
      <c r="E25" s="101"/>
      <c r="F25" s="110" t="str">
        <f t="shared" si="4"/>
        <v>-</v>
      </c>
      <c r="G25" s="100"/>
      <c r="H25" s="101"/>
      <c r="I25" s="119"/>
      <c r="J25" s="120"/>
      <c r="K25" s="101"/>
      <c r="L25" s="11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6.25" customHeight="1">
      <c r="A26" s="41"/>
      <c r="B26" s="41"/>
      <c r="C26" s="107" t="s">
        <v>100</v>
      </c>
      <c r="D26" s="101"/>
      <c r="E26" s="101"/>
      <c r="F26" s="110" t="str">
        <f t="shared" si="4"/>
        <v>-</v>
      </c>
      <c r="G26" s="101"/>
      <c r="H26" s="101"/>
      <c r="I26" s="102" t="str">
        <f>IFERROR(G26/H26,"-")</f>
        <v>-</v>
      </c>
      <c r="J26" s="103" t="str">
        <f>IFERROR(H26/E26,"-")</f>
        <v>-</v>
      </c>
      <c r="K26" s="101"/>
      <c r="L26" s="10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6.25" customHeight="1">
      <c r="A27" s="47"/>
      <c r="B27" s="47"/>
      <c r="C27" s="47"/>
      <c r="D27" s="47"/>
      <c r="E27" s="47"/>
      <c r="F27" s="108"/>
      <c r="G27" s="47"/>
      <c r="H27" s="47"/>
      <c r="I27" s="121"/>
      <c r="J27" s="47"/>
      <c r="K27" s="42"/>
      <c r="L27" s="4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6.25" customHeight="1">
      <c r="A28" s="122" t="s">
        <v>21</v>
      </c>
      <c r="B28" s="34"/>
      <c r="C28" s="123"/>
      <c r="D28" s="91" t="s">
        <v>86</v>
      </c>
      <c r="E28" s="91" t="s">
        <v>87</v>
      </c>
      <c r="F28" s="92" t="s">
        <v>88</v>
      </c>
      <c r="G28" s="93" t="s">
        <v>89</v>
      </c>
      <c r="H28" s="93" t="s">
        <v>90</v>
      </c>
      <c r="I28" s="94" t="s">
        <v>16</v>
      </c>
      <c r="J28" s="93" t="s">
        <v>113</v>
      </c>
      <c r="K28" s="93" t="s">
        <v>65</v>
      </c>
      <c r="L28" s="4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6.25" customHeight="1">
      <c r="A29" s="124"/>
      <c r="C29" s="125"/>
      <c r="D29" s="126">
        <f t="shared" ref="D29:E29" si="9">SUM(D7:D26)</f>
        <v>2090000</v>
      </c>
      <c r="E29" s="126">
        <f t="shared" si="9"/>
        <v>501000</v>
      </c>
      <c r="F29" s="127">
        <f>D29/E29</f>
        <v>4.171656687</v>
      </c>
      <c r="G29" s="126">
        <f t="shared" ref="G29:H29" si="10">SUM(G7:G26)</f>
        <v>0</v>
      </c>
      <c r="H29" s="126">
        <f t="shared" si="10"/>
        <v>0</v>
      </c>
      <c r="I29" s="128" t="str">
        <f>IFERROR(G29/H29,"-")</f>
        <v>-</v>
      </c>
      <c r="J29" s="126" t="s">
        <v>27</v>
      </c>
      <c r="K29" s="126">
        <f>SUM(K7:K26)</f>
        <v>0</v>
      </c>
      <c r="L29" s="4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6.25" customHeight="1">
      <c r="A30" s="39"/>
      <c r="B30" s="40"/>
      <c r="C30" s="129"/>
      <c r="D30" s="41"/>
      <c r="E30" s="41"/>
      <c r="F30" s="41"/>
      <c r="G30" s="41"/>
      <c r="H30" s="41"/>
      <c r="I30" s="41"/>
      <c r="J30" s="41"/>
      <c r="K30" s="41"/>
      <c r="L30" s="4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6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6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6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6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6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6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6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mergeCells count="13">
    <mergeCell ref="F29:F30"/>
    <mergeCell ref="G29:G30"/>
    <mergeCell ref="H29:H30"/>
    <mergeCell ref="I29:I30"/>
    <mergeCell ref="J29:J30"/>
    <mergeCell ref="K29:K30"/>
    <mergeCell ref="A2:A5"/>
    <mergeCell ref="A7:A26"/>
    <mergeCell ref="B7:B13"/>
    <mergeCell ref="B14:B26"/>
    <mergeCell ref="A28:C30"/>
    <mergeCell ref="D29:D30"/>
    <mergeCell ref="E29:E30"/>
  </mergeCells>
  <drawing r:id="rId1"/>
</worksheet>
</file>