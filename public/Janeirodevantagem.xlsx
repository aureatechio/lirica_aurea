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I" sheetId="1" r:id="rId5"/>
    <sheet state="visible" name="⚙️Configurações" sheetId="2" r:id="rId6"/>
  </sheets>
  <definedNames/>
  <calcPr/>
</workbook>
</file>

<file path=xl/sharedStrings.xml><?xml version="1.0" encoding="utf-8"?>
<sst xmlns="http://schemas.openxmlformats.org/spreadsheetml/2006/main" count="79" uniqueCount="58">
  <si>
    <t>Investimento</t>
  </si>
  <si>
    <t>Parâmetros</t>
  </si>
  <si>
    <t>Projeção</t>
  </si>
  <si>
    <t>(R$) Verba em Tráfego</t>
  </si>
  <si>
    <t>Meta de Leads</t>
  </si>
  <si>
    <t>Leads Org</t>
  </si>
  <si>
    <t>Leads Pago</t>
  </si>
  <si>
    <t>Leads Total</t>
  </si>
  <si>
    <t>Meta de Vendas</t>
  </si>
  <si>
    <t>Vendas</t>
  </si>
  <si>
    <t>Faturamento</t>
  </si>
  <si>
    <t>Roas</t>
  </si>
  <si>
    <t>Venda</t>
  </si>
  <si>
    <t>Custo por Lead</t>
  </si>
  <si>
    <t>(%) Verba Utilizada</t>
  </si>
  <si>
    <t>Cenário Ideal</t>
  </si>
  <si>
    <t>Cenário Ótimo</t>
  </si>
  <si>
    <t>Cenário Bom</t>
  </si>
  <si>
    <t>Cenário Padrão</t>
  </si>
  <si>
    <t>Cenário Ruim</t>
  </si>
  <si>
    <t>Cenário Péssimo</t>
  </si>
  <si>
    <t>Cenário Catastrófico</t>
  </si>
  <si>
    <t>(%) Verba em Captação</t>
  </si>
  <si>
    <t>Leads Orgânicos</t>
  </si>
  <si>
    <t>Social</t>
  </si>
  <si>
    <t>Mailing</t>
  </si>
  <si>
    <t>Média Org</t>
  </si>
  <si>
    <t xml:space="preserve">Ticket Médio </t>
  </si>
  <si>
    <t>Ticket</t>
  </si>
  <si>
    <t>% Taxas</t>
  </si>
  <si>
    <t>Conversão</t>
  </si>
  <si>
    <t>(R$) Verba em Captação</t>
  </si>
  <si>
    <t>(%) Verba em Lembrete</t>
  </si>
  <si>
    <t>(R$) Verba em Lembrete</t>
  </si>
  <si>
    <t>CPL</t>
  </si>
  <si>
    <t>CPL Méd</t>
  </si>
  <si>
    <t>(%) Variação</t>
  </si>
  <si>
    <t>Média Pago</t>
  </si>
  <si>
    <t>(%) Conversão</t>
  </si>
  <si>
    <t>Média Vendas</t>
  </si>
  <si>
    <t>(%) Verba em Aquecimento</t>
  </si>
  <si>
    <t>(R$) Verba em Aquecimento</t>
  </si>
  <si>
    <t>(%) Verba em Evento</t>
  </si>
  <si>
    <t>Leads Pagos</t>
  </si>
  <si>
    <t>Total Geral</t>
  </si>
  <si>
    <t xml:space="preserve"> Vendas</t>
  </si>
  <si>
    <t>(R$) Verba em Evento</t>
  </si>
  <si>
    <t>(%) Verba em Venda</t>
  </si>
  <si>
    <t>(R$) Verba em Venda</t>
  </si>
  <si>
    <t>(%) Verba em Espera</t>
  </si>
  <si>
    <t>(%) Verba em Tiro de Alerta</t>
  </si>
  <si>
    <t>(R$) Verba em Reabertua</t>
  </si>
  <si>
    <t>Cenário A-HA</t>
  </si>
  <si>
    <t>Arrendondar?</t>
  </si>
  <si>
    <t>Arredondamento</t>
  </si>
  <si>
    <t>Quantidade Vendas</t>
  </si>
  <si>
    <t>Fatuamento Vendas</t>
  </si>
  <si>
    <t>Leads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</si>
</sst>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[$R$ -416]#,##0"/>
    <numFmt numFmtId="166" formatCode="0.0"/>
  </numFmts>
  <fonts count="22">
    <font>
      <sz val="10.0"/>
      <color rgb="FF000000"/>
      <name val="Arial"/>
      <scheme val="minor"/>
    </font>
    <font>
      <color theme="1"/>
      <name val="Arial"/>
    </font>
    <font>
      <b/>
      <sz val="20.0"/>
      <color rgb="FFFFFFFF"/>
      <name val="Arial"/>
    </font>
    <font/>
    <font>
      <b/>
      <color theme="1"/>
      <name val="Arial"/>
    </font>
    <font>
      <color rgb="FF9900FF"/>
      <name val="Arial"/>
    </font>
    <font>
      <b/>
      <color rgb="FFFFFFFF"/>
      <name val="Arial"/>
    </font>
    <font>
      <b/>
      <color rgb="FF000000"/>
      <name val="Arial"/>
    </font>
    <font>
      <sz val="8.0"/>
      <color theme="1"/>
      <name val="Arial"/>
    </font>
    <font>
      <sz val="11.0"/>
      <color theme="1"/>
      <name val="Arial"/>
    </font>
    <font>
      <sz val="11.0"/>
      <color rgb="FFD9D9D9"/>
      <name val="Arial"/>
    </font>
    <font>
      <b/>
      <sz val="11.0"/>
      <color rgb="FFD9D9D9"/>
      <name val="Arial"/>
    </font>
    <font>
      <b/>
      <sz val="11.0"/>
      <color rgb="FFCCCCCC"/>
      <name val="Arial"/>
    </font>
    <font>
      <b/>
      <sz val="11.0"/>
      <color rgb="FFB7B7B7"/>
      <name val="Arial"/>
    </font>
    <font>
      <b/>
      <sz val="11.0"/>
      <color rgb="FF999999"/>
      <name val="Arial"/>
    </font>
    <font>
      <sz val="11.0"/>
      <color rgb="FFCCCCCC"/>
      <name val="Arial"/>
    </font>
    <font>
      <b/>
      <sz val="11.0"/>
      <color rgb="FF666666"/>
      <name val="Arial"/>
    </font>
    <font>
      <sz val="11.0"/>
      <color rgb="FFB7B7B7"/>
      <name val="Arial"/>
    </font>
    <font>
      <b/>
      <sz val="11.0"/>
      <color rgb="FF434343"/>
      <name val="Arial"/>
    </font>
    <font>
      <sz val="11.0"/>
      <color rgb="FF999999"/>
      <name val="Arial"/>
    </font>
    <font>
      <b/>
      <sz val="11.0"/>
      <color theme="1"/>
      <name val="Arial"/>
    </font>
    <font>
      <b/>
      <sz val="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003E64"/>
        <bgColor rgb="FF003E64"/>
      </patternFill>
    </fill>
    <fill>
      <patternFill patternType="solid">
        <fgColor rgb="FFCEB082"/>
        <bgColor rgb="FFCEB082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dotted">
        <color rgb="FF000000"/>
      </right>
    </border>
    <border>
      <left style="dotted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left"/>
    </xf>
    <xf borderId="1" fillId="3" fontId="1" numFmtId="0" xfId="0" applyBorder="1" applyFill="1" applyFont="1"/>
    <xf borderId="2" fillId="3" fontId="2" numFmtId="0" xfId="0" applyAlignment="1" applyBorder="1" applyFont="1">
      <alignment horizontal="center"/>
    </xf>
    <xf borderId="2" fillId="0" fontId="3" numFmtId="0" xfId="0" applyBorder="1" applyFont="1"/>
    <xf borderId="3" fillId="3" fontId="1" numFmtId="0" xfId="0" applyBorder="1" applyFont="1"/>
    <xf borderId="1" fillId="4" fontId="1" numFmtId="0" xfId="0" applyBorder="1" applyFill="1" applyFont="1"/>
    <xf borderId="2" fillId="4" fontId="2" numFmtId="0" xfId="0" applyAlignment="1" applyBorder="1" applyFont="1">
      <alignment horizontal="center"/>
    </xf>
    <xf borderId="3" fillId="4" fontId="1" numFmtId="0" xfId="0" applyBorder="1" applyFont="1"/>
    <xf borderId="1" fillId="5" fontId="1" numFmtId="0" xfId="0" applyBorder="1" applyFill="1" applyFont="1"/>
    <xf borderId="2" fillId="5" fontId="2" numFmtId="0" xfId="0" applyAlignment="1" applyBorder="1" applyFont="1">
      <alignment horizontal="center"/>
    </xf>
    <xf borderId="3" fillId="5" fontId="1" numFmtId="0" xfId="0" applyBorder="1" applyFont="1"/>
    <xf borderId="4" fillId="6" fontId="1" numFmtId="0" xfId="0" applyBorder="1" applyFill="1" applyFont="1"/>
    <xf borderId="0" fillId="6" fontId="1" numFmtId="0" xfId="0" applyFont="1"/>
    <xf borderId="5" fillId="6" fontId="1" numFmtId="0" xfId="0" applyBorder="1" applyFont="1"/>
    <xf borderId="6" fillId="0" fontId="4" numFmtId="0" xfId="0" applyBorder="1" applyFont="1"/>
    <xf borderId="7" fillId="0" fontId="5" numFmtId="164" xfId="0" applyAlignment="1" applyBorder="1" applyFont="1" applyNumberFormat="1">
      <alignment readingOrder="0"/>
    </xf>
    <xf borderId="8" fillId="4" fontId="6" numFmtId="0" xfId="0" applyAlignment="1" applyBorder="1" applyFont="1">
      <alignment horizontal="center" vertical="center"/>
    </xf>
    <xf borderId="9" fillId="7" fontId="7" numFmtId="0" xfId="0" applyAlignment="1" applyBorder="1" applyFill="1" applyFont="1">
      <alignment horizontal="center" vertical="center"/>
    </xf>
    <xf borderId="10" fillId="7" fontId="7" numFmtId="0" xfId="0" applyAlignment="1" applyBorder="1" applyFont="1">
      <alignment horizontal="center" vertical="center"/>
    </xf>
    <xf borderId="8" fillId="7" fontId="7" numFmtId="0" xfId="0" applyAlignment="1" applyBorder="1" applyFont="1">
      <alignment horizontal="center" vertical="center"/>
    </xf>
    <xf borderId="0" fillId="6" fontId="1" numFmtId="0" xfId="0" applyAlignment="1" applyFont="1">
      <alignment horizontal="center" vertical="center"/>
    </xf>
    <xf borderId="11" fillId="7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vertical="center"/>
    </xf>
    <xf borderId="12" fillId="0" fontId="3" numFmtId="0" xfId="0" applyBorder="1" applyFont="1"/>
    <xf borderId="13" fillId="7" fontId="4" numFmtId="0" xfId="0" applyAlignment="1" applyBorder="1" applyFont="1">
      <alignment horizontal="center"/>
    </xf>
    <xf borderId="14" fillId="0" fontId="3" numFmtId="0" xfId="0" applyBorder="1" applyFont="1"/>
    <xf borderId="10" fillId="0" fontId="3" numFmtId="0" xfId="0" applyBorder="1" applyFont="1"/>
    <xf borderId="15" fillId="0" fontId="8" numFmtId="0" xfId="0" applyBorder="1" applyFont="1"/>
    <xf borderId="16" fillId="8" fontId="8" numFmtId="10" xfId="0" applyAlignment="1" applyBorder="1" applyFill="1" applyFont="1" applyNumberFormat="1">
      <alignment readingOrder="0"/>
    </xf>
    <xf borderId="17" fillId="0" fontId="3" numFmtId="0" xfId="0" applyBorder="1" applyFont="1"/>
    <xf borderId="18" fillId="8" fontId="1" numFmtId="3" xfId="0" applyAlignment="1" applyBorder="1" applyFont="1" applyNumberFormat="1">
      <alignment horizontal="center" vertical="center"/>
    </xf>
    <xf borderId="19" fillId="8" fontId="1" numFmtId="3" xfId="0" applyAlignment="1" applyBorder="1" applyFont="1" applyNumberFormat="1">
      <alignment horizontal="center" vertical="center"/>
    </xf>
    <xf borderId="20" fillId="8" fontId="1" numFmtId="3" xfId="0" applyAlignment="1" applyBorder="1" applyFont="1" applyNumberFormat="1">
      <alignment horizontal="center" vertical="center"/>
    </xf>
    <xf borderId="15" fillId="8" fontId="1" numFmtId="3" xfId="0" applyAlignment="1" applyBorder="1" applyFont="1" applyNumberFormat="1">
      <alignment horizontal="center" vertical="center"/>
    </xf>
    <xf borderId="16" fillId="8" fontId="1" numFmtId="164" xfId="0" applyAlignment="1" applyBorder="1" applyFont="1" applyNumberFormat="1">
      <alignment horizontal="center" vertical="center"/>
    </xf>
    <xf borderId="20" fillId="8" fontId="1" numFmtId="2" xfId="0" applyAlignment="1" applyBorder="1" applyFont="1" applyNumberFormat="1">
      <alignment horizontal="center" vertical="center"/>
    </xf>
    <xf borderId="21" fillId="0" fontId="3" numFmtId="0" xfId="0" applyBorder="1" applyFont="1"/>
    <xf borderId="22" fillId="8" fontId="1" numFmtId="164" xfId="0" applyAlignment="1" applyBorder="1" applyFont="1" applyNumberFormat="1">
      <alignment horizontal="center"/>
    </xf>
    <xf borderId="0" fillId="8" fontId="1" numFmtId="164" xfId="0" applyAlignment="1" applyFont="1" applyNumberForma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8" fontId="1" numFmtId="3" xfId="0" applyAlignment="1" applyBorder="1" applyFont="1" applyNumberFormat="1">
      <alignment horizontal="center"/>
    </xf>
    <xf borderId="25" fillId="8" fontId="1" numFmtId="3" xfId="0" applyAlignment="1" applyBorder="1" applyFont="1" applyNumberFormat="1">
      <alignment horizontal="center"/>
    </xf>
    <xf borderId="27" fillId="0" fontId="3" numFmtId="0" xfId="0" applyBorder="1" applyFont="1"/>
    <xf borderId="7" fillId="0" fontId="5" numFmtId="10" xfId="0" applyAlignment="1" applyBorder="1" applyFont="1" applyNumberFormat="1">
      <alignment readingOrder="0"/>
    </xf>
    <xf borderId="6" fillId="7" fontId="7" numFmtId="0" xfId="0" applyAlignment="1" applyBorder="1" applyFont="1">
      <alignment horizontal="center" vertical="center"/>
    </xf>
    <xf borderId="7" fillId="7" fontId="7" numFmtId="0" xfId="0" applyAlignment="1" applyBorder="1" applyFont="1">
      <alignment horizontal="center" vertical="center"/>
    </xf>
    <xf borderId="11" fillId="7" fontId="7" numFmtId="164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8" fontId="9" numFmtId="10" xfId="0" applyAlignment="1" applyBorder="1" applyFont="1" applyNumberFormat="1">
      <alignment vertical="center"/>
    </xf>
    <xf borderId="0" fillId="9" fontId="10" numFmtId="0" xfId="0" applyAlignment="1" applyFill="1" applyFont="1">
      <alignment horizontal="right" vertical="center"/>
    </xf>
    <xf borderId="0" fillId="9" fontId="11" numFmtId="165" xfId="0" applyAlignment="1" applyFont="1" applyNumberFormat="1">
      <alignment horizontal="center" vertical="center"/>
    </xf>
    <xf borderId="30" fillId="9" fontId="11" numFmtId="166" xfId="0" applyAlignment="1" applyBorder="1" applyFont="1" applyNumberFormat="1">
      <alignment horizontal="left" vertical="center"/>
    </xf>
    <xf borderId="31" fillId="9" fontId="12" numFmtId="0" xfId="0" applyAlignment="1" applyBorder="1" applyFont="1">
      <alignment horizontal="right" vertical="center"/>
    </xf>
    <xf borderId="0" fillId="9" fontId="12" numFmtId="165" xfId="0" applyAlignment="1" applyFont="1" applyNumberFormat="1">
      <alignment horizontal="center" vertical="center"/>
    </xf>
    <xf borderId="30" fillId="9" fontId="12" numFmtId="166" xfId="0" applyAlignment="1" applyBorder="1" applyFont="1" applyNumberFormat="1">
      <alignment horizontal="left" vertical="center"/>
    </xf>
    <xf borderId="31" fillId="9" fontId="13" numFmtId="0" xfId="0" applyAlignment="1" applyBorder="1" applyFont="1">
      <alignment horizontal="right" vertical="center"/>
    </xf>
    <xf borderId="0" fillId="9" fontId="13" numFmtId="165" xfId="0" applyAlignment="1" applyFont="1" applyNumberFormat="1">
      <alignment horizontal="center" vertical="center"/>
    </xf>
    <xf borderId="30" fillId="9" fontId="13" numFmtId="166" xfId="0" applyAlignment="1" applyBorder="1" applyFont="1" applyNumberFormat="1">
      <alignment horizontal="left" vertical="center"/>
    </xf>
    <xf borderId="0" fillId="9" fontId="14" numFmtId="0" xfId="0" applyAlignment="1" applyFont="1">
      <alignment horizontal="right" vertical="center"/>
    </xf>
    <xf borderId="0" fillId="9" fontId="14" numFmtId="165" xfId="0" applyAlignment="1" applyFont="1" applyNumberFormat="1">
      <alignment horizontal="center" vertical="center"/>
    </xf>
    <xf borderId="30" fillId="9" fontId="14" numFmtId="166" xfId="0" applyAlignment="1" applyBorder="1" applyFont="1" applyNumberFormat="1">
      <alignment horizontal="left" vertical="center"/>
    </xf>
    <xf borderId="0" fillId="9" fontId="11" numFmtId="0" xfId="0" applyAlignment="1" applyFont="1">
      <alignment horizontal="right" vertical="center"/>
    </xf>
    <xf borderId="23" fillId="9" fontId="11" numFmtId="166" xfId="0" applyAlignment="1" applyBorder="1" applyFont="1" applyNumberFormat="1">
      <alignment horizontal="left" vertical="center"/>
    </xf>
    <xf borderId="21" fillId="0" fontId="8" numFmtId="0" xfId="0" applyBorder="1" applyFont="1"/>
    <xf borderId="23" fillId="8" fontId="8" numFmtId="164" xfId="0" applyBorder="1" applyFont="1" applyNumberFormat="1"/>
    <xf borderId="15" fillId="0" fontId="5" numFmtId="3" xfId="0" applyAlignment="1" applyBorder="1" applyFont="1" applyNumberFormat="1">
      <alignment horizontal="center" readingOrder="0" vertical="center"/>
    </xf>
    <xf borderId="16" fillId="0" fontId="5" numFmtId="3" xfId="0" applyAlignment="1" applyBorder="1" applyFont="1" applyNumberFormat="1">
      <alignment horizontal="center" readingOrder="0" vertical="center"/>
    </xf>
    <xf borderId="18" fillId="0" fontId="5" numFmtId="164" xfId="0" applyAlignment="1" applyBorder="1" applyFont="1" applyNumberFormat="1">
      <alignment horizontal="center" readingOrder="0" vertical="center"/>
    </xf>
    <xf borderId="19" fillId="0" fontId="5" numFmtId="10" xfId="0" applyAlignment="1" applyBorder="1" applyFont="1" applyNumberFormat="1">
      <alignment horizontal="center" vertical="center"/>
    </xf>
    <xf borderId="20" fillId="8" fontId="1" numFmtId="164" xfId="0" applyAlignment="1" applyBorder="1" applyFont="1" applyNumberForma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21" fillId="0" fontId="4" numFmtId="0" xfId="0" applyBorder="1" applyFont="1"/>
    <xf borderId="23" fillId="0" fontId="5" numFmtId="10" xfId="0" applyAlignment="1" applyBorder="1" applyFont="1" applyNumberFormat="1">
      <alignment readingOrder="0"/>
    </xf>
    <xf borderId="0" fillId="9" fontId="15" numFmtId="0" xfId="0" applyAlignment="1" applyFont="1">
      <alignment horizontal="right" vertical="center"/>
    </xf>
    <xf borderId="31" fillId="9" fontId="14" numFmtId="0" xfId="0" applyAlignment="1" applyBorder="1" applyFont="1">
      <alignment horizontal="right" vertical="center"/>
    </xf>
    <xf borderId="0" fillId="9" fontId="16" numFmtId="0" xfId="0" applyAlignment="1" applyFont="1">
      <alignment horizontal="right" vertical="center"/>
    </xf>
    <xf borderId="0" fillId="9" fontId="16" numFmtId="165" xfId="0" applyAlignment="1" applyFont="1" applyNumberFormat="1">
      <alignment horizontal="center" vertical="center"/>
    </xf>
    <xf borderId="30" fillId="9" fontId="16" numFmtId="166" xfId="0" applyAlignment="1" applyBorder="1" applyFont="1" applyNumberFormat="1">
      <alignment horizontal="left" vertical="center"/>
    </xf>
    <xf borderId="0" fillId="9" fontId="12" numFmtId="0" xfId="0" applyAlignment="1" applyFont="1">
      <alignment horizontal="right" vertical="center"/>
    </xf>
    <xf borderId="23" fillId="9" fontId="12" numFmtId="166" xfId="0" applyAlignment="1" applyBorder="1" applyFont="1" applyNumberFormat="1">
      <alignment horizontal="left" vertical="center"/>
    </xf>
    <xf borderId="15" fillId="0" fontId="5" numFmtId="164" xfId="0" applyAlignment="1" applyBorder="1" applyFont="1" applyNumberFormat="1">
      <alignment horizontal="center" readingOrder="0" vertical="center"/>
    </xf>
    <xf borderId="16" fillId="0" fontId="5" numFmtId="164" xfId="0" applyAlignment="1" applyBorder="1" applyFont="1" applyNumberFormat="1">
      <alignment horizontal="center" readingOrder="0" vertical="center"/>
    </xf>
    <xf borderId="15" fillId="0" fontId="5" numFmtId="10" xfId="0" applyAlignment="1" applyBorder="1" applyFont="1" applyNumberFormat="1">
      <alignment horizontal="center" readingOrder="0" vertical="center"/>
    </xf>
    <xf borderId="16" fillId="0" fontId="5" numFmtId="10" xfId="0" applyAlignment="1" applyBorder="1" applyFont="1" applyNumberFormat="1">
      <alignment horizontal="center" readingOrder="0" vertical="center"/>
    </xf>
    <xf borderId="0" fillId="9" fontId="17" numFmtId="0" xfId="0" applyAlignment="1" applyFont="1">
      <alignment horizontal="right" vertical="center"/>
    </xf>
    <xf borderId="31" fillId="9" fontId="16" numFmtId="0" xfId="0" applyAlignment="1" applyBorder="1" applyFont="1">
      <alignment horizontal="right" vertical="center"/>
    </xf>
    <xf borderId="0" fillId="9" fontId="18" numFmtId="0" xfId="0" applyAlignment="1" applyFont="1">
      <alignment horizontal="right" vertical="center"/>
    </xf>
    <xf borderId="0" fillId="9" fontId="18" numFmtId="165" xfId="0" applyAlignment="1" applyFont="1" applyNumberFormat="1">
      <alignment horizontal="center" vertical="center"/>
    </xf>
    <xf borderId="30" fillId="9" fontId="18" numFmtId="166" xfId="0" applyAlignment="1" applyBorder="1" applyFont="1" applyNumberFormat="1">
      <alignment horizontal="left" vertical="center"/>
    </xf>
    <xf borderId="0" fillId="9" fontId="13" numFmtId="0" xfId="0" applyAlignment="1" applyFont="1">
      <alignment horizontal="right" vertical="center"/>
    </xf>
    <xf borderId="23" fillId="9" fontId="13" numFmtId="166" xfId="0" applyAlignment="1" applyBorder="1" applyFont="1" applyNumberFormat="1">
      <alignment horizontal="left" vertical="center"/>
    </xf>
    <xf borderId="0" fillId="9" fontId="19" numFmtId="0" xfId="0" applyAlignment="1" applyFont="1">
      <alignment horizontal="right" vertical="center"/>
    </xf>
    <xf borderId="31" fillId="9" fontId="18" numFmtId="0" xfId="0" applyAlignment="1" applyBorder="1" applyFont="1">
      <alignment horizontal="right" vertical="center"/>
    </xf>
    <xf borderId="0" fillId="9" fontId="20" numFmtId="0" xfId="0" applyAlignment="1" applyFont="1">
      <alignment horizontal="right" vertical="center"/>
    </xf>
    <xf borderId="0" fillId="9" fontId="20" numFmtId="165" xfId="0" applyAlignment="1" applyFont="1" applyNumberFormat="1">
      <alignment horizontal="center" vertical="center"/>
    </xf>
    <xf borderId="30" fillId="9" fontId="20" numFmtId="166" xfId="0" applyAlignment="1" applyBorder="1" applyFont="1" applyNumberFormat="1">
      <alignment horizontal="left" vertical="center"/>
    </xf>
    <xf borderId="23" fillId="9" fontId="14" numFmtId="166" xfId="0" applyAlignment="1" applyBorder="1" applyFont="1" applyNumberFormat="1">
      <alignment horizontal="left" vertical="center"/>
    </xf>
    <xf borderId="0" fillId="2" fontId="4" numFmtId="0" xfId="0" applyFont="1"/>
    <xf borderId="4" fillId="6" fontId="4" numFmtId="0" xfId="0" applyBorder="1" applyFont="1"/>
    <xf borderId="21" fillId="0" fontId="21" numFmtId="0" xfId="0" applyBorder="1" applyFont="1"/>
    <xf borderId="23" fillId="8" fontId="21" numFmtId="164" xfId="0" applyBorder="1" applyFont="1" applyNumberFormat="1"/>
    <xf borderId="5" fillId="6" fontId="4" numFmtId="0" xfId="0" applyBorder="1" applyFont="1"/>
    <xf borderId="8" fillId="0" fontId="1" numFmtId="0" xfId="0" applyAlignment="1" applyBorder="1" applyFont="1">
      <alignment horizontal="center" vertical="center"/>
    </xf>
    <xf borderId="0" fillId="8" fontId="1" numFmtId="164" xfId="0" applyAlignment="1" applyFont="1" applyNumberFormat="1">
      <alignment horizontal="center" vertical="center"/>
    </xf>
    <xf borderId="23" fillId="8" fontId="1" numFmtId="3" xfId="0" applyAlignment="1" applyBorder="1" applyFont="1" applyNumberFormat="1">
      <alignment horizontal="center" vertical="center"/>
    </xf>
    <xf borderId="32" fillId="8" fontId="1" numFmtId="3" xfId="0" applyAlignment="1" applyBorder="1" applyFont="1" applyNumberFormat="1">
      <alignment horizontal="center" vertical="center"/>
    </xf>
    <xf borderId="0" fillId="6" fontId="4" numFmtId="0" xfId="0" applyAlignment="1" applyFont="1">
      <alignment horizontal="center" vertical="center"/>
    </xf>
    <xf borderId="0" fillId="8" fontId="1" numFmtId="10" xfId="0" applyAlignment="1" applyFont="1" applyNumberFormat="1">
      <alignment horizontal="center" vertical="center"/>
    </xf>
    <xf borderId="23" fillId="8" fontId="1" numFmtId="1" xfId="0" applyAlignment="1" applyBorder="1" applyFont="1" applyNumberFormat="1">
      <alignment horizontal="center" vertical="center"/>
    </xf>
    <xf borderId="32" fillId="8" fontId="1" numFmtId="165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0" fillId="8" fontId="1" numFmtId="3" xfId="0" applyAlignment="1" applyFont="1" applyNumberFormat="1">
      <alignment horizontal="center" vertical="center"/>
    </xf>
    <xf borderId="33" fillId="8" fontId="1" numFmtId="3" xfId="0" applyAlignment="1" applyBorder="1" applyFont="1" applyNumberFormat="1">
      <alignment horizontal="center" vertical="center"/>
    </xf>
    <xf borderId="0" fillId="8" fontId="1" numFmtId="1" xfId="0" applyAlignment="1" applyFont="1" applyNumberFormat="1">
      <alignment horizontal="center" vertical="center"/>
    </xf>
    <xf borderId="33" fillId="8" fontId="1" numFmtId="165" xfId="0" applyAlignment="1" applyBorder="1" applyFont="1" applyNumberFormat="1">
      <alignment horizontal="center" vertical="center"/>
    </xf>
    <xf borderId="16" fillId="8" fontId="8" numFmtId="164" xfId="0" applyBorder="1" applyFont="1" applyNumberFormat="1"/>
    <xf borderId="15" fillId="0" fontId="1" numFmtId="0" xfId="0" applyAlignment="1" applyBorder="1" applyFont="1">
      <alignment horizontal="center" vertical="center"/>
    </xf>
    <xf borderId="15" fillId="8" fontId="1" numFmtId="164" xfId="0" applyAlignment="1" applyBorder="1" applyFont="1" applyNumberFormat="1">
      <alignment horizontal="center" vertical="center"/>
    </xf>
    <xf borderId="16" fillId="8" fontId="1" numFmtId="3" xfId="0" applyAlignment="1" applyBorder="1" applyFont="1" applyNumberFormat="1">
      <alignment horizontal="center" vertical="center"/>
    </xf>
    <xf borderId="15" fillId="8" fontId="1" numFmtId="10" xfId="0" applyAlignment="1" applyBorder="1" applyFont="1" applyNumberFormat="1">
      <alignment horizontal="center" vertical="center"/>
    </xf>
    <xf borderId="16" fillId="8" fontId="1" numFmtId="1" xfId="0" applyAlignment="1" applyBorder="1" applyFont="1" applyNumberFormat="1">
      <alignment horizontal="center" vertical="center"/>
    </xf>
    <xf borderId="16" fillId="8" fontId="1" numFmtId="165" xfId="0" applyAlignment="1" applyBorder="1" applyFont="1" applyNumberForma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6" fillId="0" fontId="3" numFmtId="0" xfId="0" applyBorder="1" applyFont="1"/>
    <xf borderId="39" fillId="3" fontId="1" numFmtId="0" xfId="0" applyBorder="1" applyFont="1"/>
    <xf borderId="40" fillId="3" fontId="1" numFmtId="0" xfId="0" applyBorder="1" applyFont="1"/>
    <xf borderId="41" fillId="3" fontId="1" numFmtId="0" xfId="0" applyBorder="1" applyFont="1"/>
    <xf borderId="39" fillId="4" fontId="1" numFmtId="0" xfId="0" applyBorder="1" applyFont="1"/>
    <xf borderId="40" fillId="4" fontId="1" numFmtId="0" xfId="0" applyBorder="1" applyFont="1"/>
    <xf borderId="41" fillId="4" fontId="1" numFmtId="0" xfId="0" applyBorder="1" applyFont="1"/>
    <xf borderId="39" fillId="5" fontId="1" numFmtId="0" xfId="0" applyBorder="1" applyFont="1"/>
    <xf borderId="40" fillId="5" fontId="1" numFmtId="0" xfId="0" applyBorder="1" applyFont="1"/>
    <xf borderId="40" fillId="5" fontId="1" numFmtId="0" xfId="0" applyAlignment="1" applyBorder="1" applyFont="1">
      <alignment horizontal="left"/>
    </xf>
    <xf borderId="41" fillId="5" fontId="1" numFmtId="0" xfId="0" applyBorder="1" applyFont="1"/>
    <xf borderId="9" fillId="5" fontId="7" numFmtId="0" xfId="0" applyAlignment="1" applyBorder="1" applyFont="1">
      <alignment horizontal="center" vertical="center"/>
    </xf>
    <xf borderId="42" fillId="9" fontId="1" numFmtId="0" xfId="0" applyAlignment="1" applyBorder="1" applyFont="1">
      <alignment readingOrder="0"/>
    </xf>
    <xf borderId="8" fillId="3" fontId="6" numFmtId="0" xfId="0" applyAlignment="1" applyBorder="1" applyFont="1">
      <alignment horizontal="center" vertical="center"/>
    </xf>
    <xf borderId="43" fillId="3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7" fillId="3" fontId="6" numFmtId="0" xfId="0" applyAlignment="1" applyBorder="1" applyFont="1">
      <alignment horizontal="center"/>
    </xf>
    <xf borderId="44" fillId="0" fontId="1" numFmtId="0" xfId="0" applyBorder="1" applyFont="1"/>
    <xf borderId="36" fillId="0" fontId="1" numFmtId="164" xfId="0" applyBorder="1" applyFont="1" applyNumberFormat="1"/>
    <xf borderId="16" fillId="0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1</xdr:row>
      <xdr:rowOff>19050</xdr:rowOff>
    </xdr:from>
    <xdr:ext cx="4200525" cy="714375"/>
    <xdr:sp>
      <xdr:nvSpPr>
        <xdr:cNvPr id="3" name="Shape 3"/>
        <xdr:cNvSpPr txBox="1"/>
      </xdr:nvSpPr>
      <xdr:spPr>
        <a:xfrm>
          <a:off x="3250500" y="3427575"/>
          <a:ext cx="4191000" cy="70485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500"/>
            <a:buFont typeface="Montserrat"/>
            <a:buNone/>
          </a:pPr>
          <a:r>
            <a:rPr b="1" lang="en-US" sz="2500">
              <a:latin typeface="Montserrat"/>
              <a:ea typeface="Montserrat"/>
              <a:cs typeface="Montserrat"/>
              <a:sym typeface="Montserrat"/>
            </a:rPr>
            <a:t>Análise de Cenários</a:t>
          </a:r>
          <a:endParaRPr b="1" sz="2500"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1</xdr:col>
      <xdr:colOff>114300</xdr:colOff>
      <xdr:row>0</xdr:row>
      <xdr:rowOff>171450</xdr:rowOff>
    </xdr:from>
    <xdr:ext cx="828675" cy="8191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1.88"/>
    <col customWidth="1" min="3" max="3" width="22.5"/>
    <col customWidth="1" min="4" max="4" width="13.5"/>
    <col customWidth="1" min="5" max="5" width="1.88"/>
    <col customWidth="1" min="6" max="6" width="1.75"/>
    <col customWidth="1" min="7" max="7" width="1.88"/>
    <col customWidth="1" min="8" max="8" width="19.38"/>
    <col customWidth="1" min="9" max="9" width="9.25"/>
    <col customWidth="1" min="10" max="10" width="11.25"/>
    <col customWidth="1" min="11" max="11" width="10.25"/>
    <col customWidth="1" min="12" max="12" width="2.0"/>
    <col customWidth="1" min="13" max="13" width="16.38"/>
    <col customWidth="1" min="14" max="14" width="12.63"/>
    <col customWidth="1" min="15" max="15" width="13.5"/>
    <col customWidth="1" min="16" max="16" width="12.13"/>
    <col customWidth="1" min="17" max="17" width="1.88"/>
    <col customWidth="1" min="18" max="18" width="1.75"/>
    <col customWidth="1" min="19" max="19" width="1.88"/>
    <col customWidth="1" min="20" max="20" width="10.0"/>
    <col customWidth="1" min="21" max="21" width="6.63"/>
    <col customWidth="1" min="22" max="22" width="5.63"/>
    <col customWidth="1" min="23" max="23" width="13.0"/>
    <col customWidth="1" min="24" max="24" width="4.5"/>
    <col customWidth="1" min="25" max="25" width="5.63"/>
    <col customWidth="1" min="26" max="26" width="13.0"/>
    <col customWidth="1" min="27" max="27" width="4.5"/>
    <col customWidth="1" min="28" max="28" width="5.63"/>
    <col customWidth="1" min="29" max="29" width="13.0"/>
    <col customWidth="1" min="30" max="30" width="4.5"/>
    <col customWidth="1" min="31" max="31" width="5.63"/>
    <col customWidth="1" min="32" max="32" width="13.0"/>
    <col customWidth="1" min="33" max="33" width="4.5"/>
    <col customWidth="1" min="34" max="34" width="5.63"/>
    <col customWidth="1" min="35" max="35" width="13.0"/>
    <col customWidth="1" min="36" max="36" width="4.5"/>
    <col customWidth="1" min="37" max="37" width="5.63"/>
    <col customWidth="1" min="38" max="38" width="13.0"/>
    <col customWidth="1" min="39" max="39" width="4.5"/>
    <col customWidth="1" min="40" max="40" width="5.63"/>
    <col customWidth="1" min="41" max="41" width="13.0"/>
    <col customWidth="1" min="42" max="42" width="4.5"/>
    <col customWidth="1" min="43" max="43" width="1.88"/>
    <col customWidth="1" min="44" max="44" width="1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2"/>
      <c r="AD2" s="2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2"/>
      <c r="AD3" s="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2"/>
      <c r="AD4" s="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"/>
      <c r="AD5" s="2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2"/>
      <c r="AD6" s="2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ht="15.75" customHeight="1">
      <c r="A7" s="1"/>
      <c r="B7" s="3"/>
      <c r="C7" s="4" t="s">
        <v>0</v>
      </c>
      <c r="D7" s="5"/>
      <c r="E7" s="6"/>
      <c r="F7" s="1"/>
      <c r="G7" s="7"/>
      <c r="H7" s="8" t="s">
        <v>1</v>
      </c>
      <c r="I7" s="5"/>
      <c r="J7" s="5"/>
      <c r="K7" s="5"/>
      <c r="L7" s="5"/>
      <c r="M7" s="5"/>
      <c r="N7" s="5"/>
      <c r="O7" s="5"/>
      <c r="P7" s="5"/>
      <c r="Q7" s="9"/>
      <c r="R7" s="1"/>
      <c r="S7" s="10"/>
      <c r="T7" s="11" t="s">
        <v>2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12"/>
      <c r="AR7" s="1"/>
    </row>
    <row r="8" ht="15.75" customHeight="1">
      <c r="A8" s="1"/>
      <c r="B8" s="13"/>
      <c r="C8" s="14"/>
      <c r="D8" s="14"/>
      <c r="E8" s="15"/>
      <c r="F8" s="1"/>
      <c r="G8" s="13"/>
      <c r="H8" s="14"/>
      <c r="I8" s="14"/>
      <c r="J8" s="14"/>
      <c r="K8" s="14"/>
      <c r="L8" s="14"/>
      <c r="M8" s="14"/>
      <c r="N8" s="14"/>
      <c r="O8" s="14"/>
      <c r="P8" s="14"/>
      <c r="Q8" s="15"/>
      <c r="R8" s="1"/>
      <c r="S8" s="13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5"/>
      <c r="AR8" s="1"/>
    </row>
    <row r="9" ht="15.75" customHeight="1">
      <c r="A9" s="1"/>
      <c r="B9" s="13"/>
      <c r="C9" s="14"/>
      <c r="D9" s="14"/>
      <c r="E9" s="15"/>
      <c r="F9" s="1"/>
      <c r="G9" s="13"/>
      <c r="H9" s="14"/>
      <c r="I9" s="14"/>
      <c r="J9" s="14"/>
      <c r="K9" s="14"/>
      <c r="L9" s="14"/>
      <c r="M9" s="14"/>
      <c r="N9" s="14"/>
      <c r="O9" s="14"/>
      <c r="P9" s="14"/>
      <c r="Q9" s="15"/>
      <c r="R9" s="1"/>
      <c r="S9" s="13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5"/>
      <c r="AR9" s="1"/>
    </row>
    <row r="10" ht="15.75" customHeight="1">
      <c r="A10" s="1"/>
      <c r="B10" s="13"/>
      <c r="C10" s="16" t="s">
        <v>3</v>
      </c>
      <c r="D10" s="17">
        <v>100000.0</v>
      </c>
      <c r="E10" s="15"/>
      <c r="F10" s="1"/>
      <c r="G10" s="13"/>
      <c r="H10" s="18" t="s">
        <v>4</v>
      </c>
      <c r="I10" s="19" t="s">
        <v>5</v>
      </c>
      <c r="J10" s="20" t="s">
        <v>6</v>
      </c>
      <c r="K10" s="21" t="s">
        <v>7</v>
      </c>
      <c r="L10" s="22"/>
      <c r="M10" s="18" t="s">
        <v>8</v>
      </c>
      <c r="N10" s="19" t="s">
        <v>9</v>
      </c>
      <c r="O10" s="20" t="s">
        <v>10</v>
      </c>
      <c r="P10" s="23" t="s">
        <v>11</v>
      </c>
      <c r="Q10" s="15"/>
      <c r="R10" s="1"/>
      <c r="S10" s="13"/>
      <c r="T10" s="24" t="s">
        <v>12</v>
      </c>
      <c r="U10" s="25"/>
      <c r="V10" s="26" t="s">
        <v>13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8"/>
      <c r="AQ10" s="15"/>
      <c r="AR10" s="1"/>
    </row>
    <row r="11" ht="15.75" customHeight="1">
      <c r="A11" s="1"/>
      <c r="B11" s="13"/>
      <c r="C11" s="29" t="s">
        <v>14</v>
      </c>
      <c r="D11" s="30">
        <v>0.2</v>
      </c>
      <c r="E11" s="15"/>
      <c r="F11" s="1"/>
      <c r="G11" s="13"/>
      <c r="H11" s="31"/>
      <c r="I11" s="32">
        <f>K15</f>
        <v>700</v>
      </c>
      <c r="J11" s="33">
        <f>1887</f>
        <v>1887</v>
      </c>
      <c r="K11" s="34">
        <f>I11+J11</f>
        <v>2587</v>
      </c>
      <c r="L11" s="22"/>
      <c r="M11" s="31"/>
      <c r="N11" s="35">
        <f>P18</f>
        <v>47.33333333</v>
      </c>
      <c r="O11" s="36">
        <f>P18*P14</f>
        <v>568000</v>
      </c>
      <c r="P11" s="37">
        <f>IFERROR( O11/D10, "")</f>
        <v>5.68</v>
      </c>
      <c r="Q11" s="15"/>
      <c r="R11" s="1"/>
      <c r="S11" s="13"/>
      <c r="T11" s="38"/>
      <c r="V11" s="39" t="s">
        <v>15</v>
      </c>
      <c r="Y11" s="40" t="s">
        <v>16</v>
      </c>
      <c r="AB11" s="40" t="s">
        <v>17</v>
      </c>
      <c r="AE11" s="40" t="s">
        <v>18</v>
      </c>
      <c r="AH11" s="40" t="s">
        <v>19</v>
      </c>
      <c r="AK11" s="40" t="s">
        <v>20</v>
      </c>
      <c r="AN11" s="40" t="s">
        <v>21</v>
      </c>
      <c r="AP11" s="41"/>
      <c r="AQ11" s="15"/>
      <c r="AR11" s="1"/>
    </row>
    <row r="12" ht="15.75" customHeight="1">
      <c r="A12" s="1"/>
      <c r="B12" s="13"/>
      <c r="C12" s="14"/>
      <c r="D12" s="14"/>
      <c r="E12" s="15"/>
      <c r="F12" s="1"/>
      <c r="G12" s="13"/>
      <c r="H12" s="22"/>
      <c r="I12" s="22"/>
      <c r="J12" s="22"/>
      <c r="K12" s="22"/>
      <c r="L12" s="22"/>
      <c r="M12" s="22"/>
      <c r="N12" s="22"/>
      <c r="O12" s="22"/>
      <c r="P12" s="22"/>
      <c r="Q12" s="15"/>
      <c r="R12" s="1"/>
      <c r="S12" s="13"/>
      <c r="T12" s="38"/>
      <c r="V12" s="39">
        <f>I27</f>
        <v>30</v>
      </c>
      <c r="Y12" s="40">
        <f>I26</f>
        <v>40</v>
      </c>
      <c r="AB12" s="40">
        <f>I25</f>
        <v>50</v>
      </c>
      <c r="AE12" s="40">
        <f>I24</f>
        <v>60</v>
      </c>
      <c r="AH12" s="40">
        <f>I23</f>
        <v>70</v>
      </c>
      <c r="AK12" s="40">
        <f>I22</f>
        <v>80</v>
      </c>
      <c r="AN12" s="40">
        <f>I21</f>
        <v>90</v>
      </c>
      <c r="AP12" s="41"/>
      <c r="AQ12" s="15"/>
      <c r="AR12" s="1"/>
    </row>
    <row r="13" ht="15.75" customHeight="1">
      <c r="A13" s="1"/>
      <c r="B13" s="13"/>
      <c r="C13" s="14"/>
      <c r="D13" s="14"/>
      <c r="E13" s="15"/>
      <c r="F13" s="1"/>
      <c r="G13" s="13"/>
      <c r="H13" s="22"/>
      <c r="I13" s="22"/>
      <c r="J13" s="22"/>
      <c r="K13" s="22"/>
      <c r="L13" s="22"/>
      <c r="M13" s="22"/>
      <c r="N13" s="22"/>
      <c r="O13" s="22"/>
      <c r="P13" s="22"/>
      <c r="Q13" s="15"/>
      <c r="R13" s="1"/>
      <c r="S13" s="13"/>
      <c r="T13" s="42"/>
      <c r="U13" s="43"/>
      <c r="V13" s="44">
        <f> IF($U$33, FLOOR( K27, '⚙️Configurações'!$E$3), K27)</f>
        <v>4033</v>
      </c>
      <c r="W13" s="43"/>
      <c r="X13" s="43"/>
      <c r="Y13" s="45">
        <f> IF($U$33, FLOOR( K26, '⚙️Configurações'!$E$3), K26)</f>
        <v>3200</v>
      </c>
      <c r="Z13" s="43"/>
      <c r="AA13" s="43"/>
      <c r="AB13" s="45">
        <f> IF($U$33, FLOOR( K25, '⚙️Configurações'!$E$3), K25)</f>
        <v>2700</v>
      </c>
      <c r="AC13" s="43"/>
      <c r="AD13" s="43"/>
      <c r="AE13" s="45">
        <f> IF($U$33, FLOOR( K24, '⚙️Configurações'!$E$3), K24)</f>
        <v>2366</v>
      </c>
      <c r="AF13" s="43"/>
      <c r="AG13" s="43"/>
      <c r="AH13" s="45">
        <f> IF($U$33, FLOOR( K23, '⚙️Configurações'!$E$3), K23)</f>
        <v>2128</v>
      </c>
      <c r="AI13" s="43"/>
      <c r="AJ13" s="43"/>
      <c r="AK13" s="45">
        <f> IF($U$33, FLOOR( K22, '⚙️Configurações'!$E$3), K22)</f>
        <v>1950</v>
      </c>
      <c r="AL13" s="43"/>
      <c r="AM13" s="43"/>
      <c r="AN13" s="45">
        <f> IF($U$33, FLOOR( K21, '⚙️Configurações'!$E$3), K21)</f>
        <v>1811</v>
      </c>
      <c r="AO13" s="43"/>
      <c r="AP13" s="46"/>
      <c r="AQ13" s="15"/>
      <c r="AR13" s="1"/>
    </row>
    <row r="14" ht="15.75" customHeight="1">
      <c r="A14" s="1"/>
      <c r="B14" s="13"/>
      <c r="C14" s="16" t="s">
        <v>22</v>
      </c>
      <c r="D14" s="47">
        <v>1.0</v>
      </c>
      <c r="E14" s="15"/>
      <c r="F14" s="1"/>
      <c r="G14" s="13"/>
      <c r="H14" s="18" t="s">
        <v>23</v>
      </c>
      <c r="I14" s="19" t="s">
        <v>24</v>
      </c>
      <c r="J14" s="20" t="s">
        <v>25</v>
      </c>
      <c r="K14" s="21" t="s">
        <v>26</v>
      </c>
      <c r="L14" s="22"/>
      <c r="M14" s="18" t="s">
        <v>27</v>
      </c>
      <c r="N14" s="48" t="s">
        <v>28</v>
      </c>
      <c r="O14" s="49" t="s">
        <v>29</v>
      </c>
      <c r="P14" s="50">
        <f>N15 -P15</f>
        <v>12000</v>
      </c>
      <c r="Q14" s="15"/>
      <c r="R14" s="1"/>
      <c r="S14" s="13"/>
      <c r="T14" s="51" t="s">
        <v>30</v>
      </c>
      <c r="U14" s="52">
        <f>N27</f>
        <v>0.08</v>
      </c>
      <c r="V14" s="53">
        <f> IF($U$33, FLOOR( ROUNDDOWN(V$13*$U14,0), '⚙️Configurações'!$C$3), ROUNDDOWN(V$13*$U14,0) )</f>
        <v>322</v>
      </c>
      <c r="W14" s="54">
        <f> IF($U$33, FLOOR( V14*$P$14, '⚙️Configurações'!$D$3), V14*$P$14) </f>
        <v>3864000</v>
      </c>
      <c r="X14" s="55">
        <f>W14/$D$10</f>
        <v>38.64</v>
      </c>
      <c r="Y14" s="56">
        <f> IF($U$33, FLOOR( ROUNDDOWN(Y$13*$U14,0), '⚙️Configurações'!$C$3), ROUNDDOWN(Y$13*$U14,0) )</f>
        <v>256</v>
      </c>
      <c r="Z14" s="57">
        <f> IF($U$33, FLOOR( Y14*$P$14, '⚙️Configurações'!$D$3), Y14*$P$14) </f>
        <v>3072000</v>
      </c>
      <c r="AA14" s="58">
        <f>Z14/$D$10</f>
        <v>30.72</v>
      </c>
      <c r="AB14" s="59">
        <f> IF($U$33, FLOOR( ROUNDDOWN(AB$13*$U14,0), '⚙️Configurações'!$C$3), ROUNDDOWN(AB$13*$U14,0) )</f>
        <v>216</v>
      </c>
      <c r="AC14" s="60">
        <f> IF($U$33, FLOOR( AB14*$P$14, '⚙️Configurações'!$D$3), AB14*$P$14) </f>
        <v>2592000</v>
      </c>
      <c r="AD14" s="61">
        <f>AC14/$D$10</f>
        <v>25.92</v>
      </c>
      <c r="AE14" s="62">
        <f> IF($U$33, FLOOR( ROUNDDOWN(AE$13*$U14,0), '⚙️Configurações'!$C$3), ROUNDDOWN(AE$13*$U14,0) )</f>
        <v>189</v>
      </c>
      <c r="AF14" s="63">
        <f> IF($U$33, FLOOR( AE14*$P$14, '⚙️Configurações'!$D$3), AE14*$P$14) </f>
        <v>2268000</v>
      </c>
      <c r="AG14" s="64">
        <f>AF14/$D$10</f>
        <v>22.68</v>
      </c>
      <c r="AH14" s="59">
        <f> IF($U$33, FLOOR( ROUNDDOWN(AH$13*$U14,0), '⚙️Configurações'!$C$3), ROUNDDOWN(AH$13*$U14,0) )</f>
        <v>170</v>
      </c>
      <c r="AI14" s="60">
        <f> IF($U$33, FLOOR( AH14*$P$14, '⚙️Configurações'!$D$3), AH14*$P$14) </f>
        <v>2040000</v>
      </c>
      <c r="AJ14" s="61">
        <f>AI14/$D$10</f>
        <v>20.4</v>
      </c>
      <c r="AK14" s="56">
        <f> IF($U$33, FLOOR( ROUNDDOWN(AK$13*$U14,0), '⚙️Configurações'!$C$3), ROUNDDOWN(AK$13*$U14,0) )</f>
        <v>156</v>
      </c>
      <c r="AL14" s="57">
        <f> IF($U$33, FLOOR( AK14*$P$14, '⚙️Configurações'!$D$3), AK14*$P$14) </f>
        <v>1872000</v>
      </c>
      <c r="AM14" s="58">
        <f>AL14/$D$10</f>
        <v>18.72</v>
      </c>
      <c r="AN14" s="65">
        <f> IF($U$33, FLOOR( ROUNDDOWN(AN$13*$U14,0), '⚙️Configurações'!$C$3), ROUNDDOWN(AN$13*$U14,0) )</f>
        <v>144</v>
      </c>
      <c r="AO14" s="54">
        <f> IF($U$33, FLOOR( AN14*$P$14, '⚙️Configurações'!$D$3), AN14*$P$14) </f>
        <v>1728000</v>
      </c>
      <c r="AP14" s="66">
        <f>AO14/$D$10</f>
        <v>17.28</v>
      </c>
      <c r="AQ14" s="15"/>
      <c r="AR14" s="1"/>
    </row>
    <row r="15" ht="15.75" customHeight="1">
      <c r="A15" s="1"/>
      <c r="B15" s="13"/>
      <c r="C15" s="67" t="s">
        <v>31</v>
      </c>
      <c r="D15" s="68">
        <f>D$10*D14</f>
        <v>100000</v>
      </c>
      <c r="E15" s="15"/>
      <c r="F15" s="1"/>
      <c r="G15" s="13"/>
      <c r="H15" s="31"/>
      <c r="I15" s="69">
        <v>200.0</v>
      </c>
      <c r="J15" s="70">
        <v>500.0</v>
      </c>
      <c r="K15" s="34">
        <f>sum(I15:J15)</f>
        <v>700</v>
      </c>
      <c r="L15" s="22"/>
      <c r="M15" s="31"/>
      <c r="N15" s="71">
        <v>12000.0</v>
      </c>
      <c r="O15" s="72">
        <v>0.0</v>
      </c>
      <c r="P15" s="73">
        <f>N15*O15</f>
        <v>0</v>
      </c>
      <c r="Q15" s="15"/>
      <c r="R15" s="1"/>
      <c r="S15" s="13"/>
      <c r="T15" s="74"/>
      <c r="U15" s="75"/>
      <c r="X15" s="76"/>
      <c r="Y15" s="77"/>
      <c r="AA15" s="76"/>
      <c r="AB15" s="77"/>
      <c r="AD15" s="76"/>
      <c r="AG15" s="76"/>
      <c r="AH15" s="77"/>
      <c r="AJ15" s="76"/>
      <c r="AK15" s="77"/>
      <c r="AM15" s="76"/>
      <c r="AP15" s="41"/>
      <c r="AQ15" s="15"/>
      <c r="AR15" s="1"/>
    </row>
    <row r="16" ht="15.75" customHeight="1">
      <c r="A16" s="1"/>
      <c r="B16" s="13"/>
      <c r="C16" s="78" t="s">
        <v>32</v>
      </c>
      <c r="D16" s="79">
        <v>0.0</v>
      </c>
      <c r="E16" s="15"/>
      <c r="F16" s="1"/>
      <c r="G16" s="13"/>
      <c r="H16" s="22"/>
      <c r="I16" s="22"/>
      <c r="J16" s="22"/>
      <c r="K16" s="22"/>
      <c r="L16" s="22"/>
      <c r="M16" s="22"/>
      <c r="N16" s="22"/>
      <c r="O16" s="22"/>
      <c r="P16" s="22"/>
      <c r="Q16" s="15"/>
      <c r="R16" s="1"/>
      <c r="S16" s="13"/>
      <c r="T16" s="74"/>
      <c r="U16" s="52">
        <f>N26</f>
        <v>0.06</v>
      </c>
      <c r="V16" s="80">
        <f> IF($U$33, FLOOR( ROUNDDOWN(V$13*$U16,0), '⚙️Configurações'!$C$3), ROUNDDOWN(V$13*$U16,0) )</f>
        <v>241</v>
      </c>
      <c r="W16" s="57">
        <f> IF($U$33, FLOOR( V16*$P$14, '⚙️Configurações'!$D$3), V16*$P$14) </f>
        <v>2892000</v>
      </c>
      <c r="X16" s="58">
        <f>W16/$D$10</f>
        <v>28.92</v>
      </c>
      <c r="Y16" s="59">
        <f> IF($U$33, FLOOR( ROUNDDOWN(Y$13*$U16,0), '⚙️Configurações'!$C$3), ROUNDDOWN(Y$13*$U16,0) )</f>
        <v>192</v>
      </c>
      <c r="Z16" s="60">
        <f> IF($U$33, FLOOR( Y16*$P$14, '⚙️Configurações'!$D$3), Y16*$P$14) </f>
        <v>2304000</v>
      </c>
      <c r="AA16" s="61">
        <f>Z16/$D$10</f>
        <v>23.04</v>
      </c>
      <c r="AB16" s="81">
        <f> IF($U$33, FLOOR( ROUNDDOWN(AB$13*$U16,0), '⚙️Configurações'!$C$3), ROUNDDOWN(AB$13*$U16,0) )</f>
        <v>162</v>
      </c>
      <c r="AC16" s="63">
        <f> IF($U$33, FLOOR( AB16*$P$14, '⚙️Configurações'!$D$3), AB16*$P$14) </f>
        <v>1944000</v>
      </c>
      <c r="AD16" s="64">
        <f>AC16/$D$10</f>
        <v>19.44</v>
      </c>
      <c r="AE16" s="82">
        <f> IF($U$33, FLOOR( ROUNDDOWN(AE$13*$U16,0), '⚙️Configurações'!$C$3), ROUNDDOWN(AE$13*$U16,0) )</f>
        <v>141</v>
      </c>
      <c r="AF16" s="83">
        <f> IF($U$33, FLOOR( AE16*$P$14, '⚙️Configurações'!$D$3), AE16*$P$14) </f>
        <v>1692000</v>
      </c>
      <c r="AG16" s="84">
        <f>AF16/$D$10</f>
        <v>16.92</v>
      </c>
      <c r="AH16" s="81">
        <f> IF($U$33, FLOOR( ROUNDDOWN(AH$13*$U16,0), '⚙️Configurações'!$C$3), ROUNDDOWN(AH$13*$U16,0) )</f>
        <v>127</v>
      </c>
      <c r="AI16" s="63">
        <f> IF($U$33, FLOOR( AH16*$P$14, '⚙️Configurações'!$D$3), AH16*$P$14) </f>
        <v>1524000</v>
      </c>
      <c r="AJ16" s="64">
        <f>AI16/$D$10</f>
        <v>15.24</v>
      </c>
      <c r="AK16" s="59">
        <f> IF($U$33, FLOOR( ROUNDDOWN(AK$13*$U16,0), '⚙️Configurações'!$C$3), ROUNDDOWN(AK$13*$U16,0) )</f>
        <v>117</v>
      </c>
      <c r="AL16" s="60">
        <f> IF($U$33, FLOOR( AK16*$P$14, '⚙️Configurações'!$D$3), AK16*$P$14) </f>
        <v>1404000</v>
      </c>
      <c r="AM16" s="61">
        <f>AL16/$D$10</f>
        <v>14.04</v>
      </c>
      <c r="AN16" s="85">
        <f> IF($U$33, FLOOR( ROUNDDOWN(AN$13*$U16,0), '⚙️Configurações'!$C$3), ROUNDDOWN(AN$13*$U16,0) )</f>
        <v>108</v>
      </c>
      <c r="AO16" s="57">
        <f> IF($U$33, FLOOR( AN16*$P$14, '⚙️Configurações'!$D$3), AN16*$P$14) </f>
        <v>1296000</v>
      </c>
      <c r="AP16" s="86">
        <f>AO16/$D$10</f>
        <v>12.96</v>
      </c>
      <c r="AQ16" s="15"/>
      <c r="AR16" s="1"/>
    </row>
    <row r="17" ht="15.75" customHeight="1">
      <c r="A17" s="1"/>
      <c r="B17" s="13"/>
      <c r="C17" s="67" t="s">
        <v>33</v>
      </c>
      <c r="D17" s="68">
        <f>D$10*D16</f>
        <v>0</v>
      </c>
      <c r="E17" s="15"/>
      <c r="F17" s="1"/>
      <c r="G17" s="13"/>
      <c r="H17" s="18" t="s">
        <v>34</v>
      </c>
      <c r="I17" s="19" t="s">
        <v>35</v>
      </c>
      <c r="J17" s="20" t="s">
        <v>36</v>
      </c>
      <c r="K17" s="21" t="s">
        <v>37</v>
      </c>
      <c r="L17" s="22"/>
      <c r="M17" s="18" t="s">
        <v>9</v>
      </c>
      <c r="N17" s="19" t="s">
        <v>38</v>
      </c>
      <c r="O17" s="20" t="s">
        <v>36</v>
      </c>
      <c r="P17" s="21" t="s">
        <v>39</v>
      </c>
      <c r="Q17" s="15"/>
      <c r="R17" s="1"/>
      <c r="S17" s="13"/>
      <c r="T17" s="74"/>
      <c r="U17" s="75"/>
      <c r="X17" s="76"/>
      <c r="Y17" s="77"/>
      <c r="AA17" s="76"/>
      <c r="AB17" s="77"/>
      <c r="AD17" s="76"/>
      <c r="AG17" s="76"/>
      <c r="AH17" s="77"/>
      <c r="AJ17" s="76"/>
      <c r="AK17" s="77"/>
      <c r="AM17" s="76"/>
      <c r="AP17" s="41"/>
      <c r="AQ17" s="15"/>
      <c r="AR17" s="1"/>
    </row>
    <row r="18" ht="15.75" customHeight="1">
      <c r="A18" s="1"/>
      <c r="B18" s="13"/>
      <c r="C18" s="78" t="s">
        <v>40</v>
      </c>
      <c r="D18" s="79">
        <v>0.0</v>
      </c>
      <c r="E18" s="15"/>
      <c r="F18" s="1"/>
      <c r="G18" s="13"/>
      <c r="H18" s="31"/>
      <c r="I18" s="87">
        <v>60.0</v>
      </c>
      <c r="J18" s="88">
        <v>10.0</v>
      </c>
      <c r="K18" s="34">
        <f>D15/I18</f>
        <v>1666.666667</v>
      </c>
      <c r="L18" s="22"/>
      <c r="M18" s="31"/>
      <c r="N18" s="89">
        <v>0.02</v>
      </c>
      <c r="O18" s="90">
        <v>0.02</v>
      </c>
      <c r="P18" s="34">
        <f>(K18+K15)*N18</f>
        <v>47.33333333</v>
      </c>
      <c r="Q18" s="15"/>
      <c r="R18" s="1"/>
      <c r="S18" s="13"/>
      <c r="T18" s="74"/>
      <c r="U18" s="52">
        <f>N25</f>
        <v>0.04</v>
      </c>
      <c r="V18" s="91">
        <f> IF($U$33, FLOOR( ROUNDDOWN(V$13*$U18,0), '⚙️Configurações'!$C$3), ROUNDDOWN(V$13*$U18,0) )</f>
        <v>161</v>
      </c>
      <c r="W18" s="60">
        <f> IF($U$33, FLOOR( V18*$P$14, '⚙️Configurações'!$D$3), V18*$P$14) </f>
        <v>1932000</v>
      </c>
      <c r="X18" s="61">
        <f>W18/$D$10</f>
        <v>19.32</v>
      </c>
      <c r="Y18" s="81">
        <f> IF($U$33, FLOOR( ROUNDDOWN(Y$13*$U18,0), '⚙️Configurações'!$C$3), ROUNDDOWN(Y$13*$U18,0) )</f>
        <v>128</v>
      </c>
      <c r="Z18" s="63">
        <f> IF($U$33, FLOOR( Y18*$P$14, '⚙️Configurações'!$D$3), Y18*$P$14) </f>
        <v>1536000</v>
      </c>
      <c r="AA18" s="64">
        <f>Z18/$D$10</f>
        <v>15.36</v>
      </c>
      <c r="AB18" s="92">
        <f> IF($U$33, FLOOR( ROUNDDOWN(AB$13*$U18,0), '⚙️Configurações'!$C$3), ROUNDDOWN(AB$13*$U18,0) )</f>
        <v>108</v>
      </c>
      <c r="AC18" s="83">
        <f> IF($U$33, FLOOR( AB18*$P$14, '⚙️Configurações'!$D$3), AB18*$P$14) </f>
        <v>1296000</v>
      </c>
      <c r="AD18" s="84">
        <f>AC18/$D$10</f>
        <v>12.96</v>
      </c>
      <c r="AE18" s="93">
        <f> IF($U$33, FLOOR( ROUNDDOWN(AE$13*$U18,0), '⚙️Configurações'!$C$3), ROUNDDOWN(AE$13*$U18,0) )</f>
        <v>94</v>
      </c>
      <c r="AF18" s="94">
        <f> IF($U$33, FLOOR( AE18*$P$14, '⚙️Configurações'!$D$3), AE18*$P$14) </f>
        <v>1128000</v>
      </c>
      <c r="AG18" s="95">
        <f>AF18/$D$10</f>
        <v>11.28</v>
      </c>
      <c r="AH18" s="92">
        <f> IF($U$33, FLOOR( ROUNDDOWN(AH$13*$U18,0), '⚙️Configurações'!$C$3), ROUNDDOWN(AH$13*$U18,0) )</f>
        <v>85</v>
      </c>
      <c r="AI18" s="83">
        <f> IF($U$33, FLOOR( AH18*$P$14, '⚙️Configurações'!$D$3), AH18*$P$14) </f>
        <v>1020000</v>
      </c>
      <c r="AJ18" s="84">
        <f>AI18/$D$10</f>
        <v>10.2</v>
      </c>
      <c r="AK18" s="81">
        <f> IF($U$33, FLOOR( ROUNDDOWN(AK$13*$U18,0), '⚙️Configurações'!$C$3), ROUNDDOWN(AK$13*$U18,0) )</f>
        <v>78</v>
      </c>
      <c r="AL18" s="63">
        <f> IF($U$33, FLOOR( AK18*$P$14, '⚙️Configurações'!$D$3), AK18*$P$14) </f>
        <v>936000</v>
      </c>
      <c r="AM18" s="64">
        <f>AL18/$D$10</f>
        <v>9.36</v>
      </c>
      <c r="AN18" s="96">
        <f> IF($U$33, FLOOR( ROUNDDOWN(AN$13*$U18,0), '⚙️Configurações'!$C$3), ROUNDDOWN(AN$13*$U18,0) )</f>
        <v>72</v>
      </c>
      <c r="AO18" s="60">
        <f> IF($U$33, FLOOR( AN18*$P$14, '⚙️Configurações'!$D$3), AN18*$P$14) </f>
        <v>864000</v>
      </c>
      <c r="AP18" s="97">
        <f>AO18/$D$10</f>
        <v>8.64</v>
      </c>
      <c r="AQ18" s="15"/>
      <c r="AR18" s="1"/>
    </row>
    <row r="19" ht="15.75" customHeight="1">
      <c r="A19" s="1"/>
      <c r="B19" s="13"/>
      <c r="C19" s="67" t="s">
        <v>41</v>
      </c>
      <c r="D19" s="68">
        <f>D$10*D18</f>
        <v>0</v>
      </c>
      <c r="E19" s="15"/>
      <c r="F19" s="1"/>
      <c r="G19" s="13"/>
      <c r="H19" s="22"/>
      <c r="I19" s="22"/>
      <c r="J19" s="22"/>
      <c r="K19" s="22"/>
      <c r="L19" s="22"/>
      <c r="M19" s="22"/>
      <c r="N19" s="22"/>
      <c r="O19" s="22"/>
      <c r="P19" s="22"/>
      <c r="Q19" s="15"/>
      <c r="R19" s="1"/>
      <c r="S19" s="13"/>
      <c r="T19" s="74"/>
      <c r="U19" s="75"/>
      <c r="X19" s="76"/>
      <c r="Y19" s="77"/>
      <c r="AA19" s="76"/>
      <c r="AB19" s="77"/>
      <c r="AD19" s="76"/>
      <c r="AG19" s="76"/>
      <c r="AH19" s="77"/>
      <c r="AJ19" s="76"/>
      <c r="AK19" s="77"/>
      <c r="AM19" s="76"/>
      <c r="AP19" s="41"/>
      <c r="AQ19" s="15"/>
      <c r="AR19" s="1"/>
    </row>
    <row r="20" ht="15.75" customHeight="1">
      <c r="A20" s="1"/>
      <c r="B20" s="13"/>
      <c r="C20" s="78" t="s">
        <v>42</v>
      </c>
      <c r="D20" s="79">
        <v>0.0</v>
      </c>
      <c r="E20" s="15"/>
      <c r="F20" s="1"/>
      <c r="G20" s="13"/>
      <c r="H20" s="18" t="s">
        <v>43</v>
      </c>
      <c r="I20" s="19" t="s">
        <v>34</v>
      </c>
      <c r="J20" s="20" t="s">
        <v>43</v>
      </c>
      <c r="K20" s="23" t="s">
        <v>44</v>
      </c>
      <c r="L20" s="22"/>
      <c r="M20" s="18" t="s">
        <v>30</v>
      </c>
      <c r="N20" s="19" t="s">
        <v>30</v>
      </c>
      <c r="O20" s="20" t="s">
        <v>45</v>
      </c>
      <c r="P20" s="23" t="s">
        <v>10</v>
      </c>
      <c r="Q20" s="15"/>
      <c r="R20" s="1"/>
      <c r="S20" s="13"/>
      <c r="T20" s="74"/>
      <c r="U20" s="52">
        <f>N24</f>
        <v>0.02</v>
      </c>
      <c r="V20" s="98">
        <f> IF($U$33, FLOOR( ROUNDDOWN(V$13*$U20,0), '⚙️Configurações'!$C$3), ROUNDDOWN(V$13*$U20,0) )</f>
        <v>80</v>
      </c>
      <c r="W20" s="63">
        <f> IF($U$33, FLOOR( V20*$P$14, '⚙️Configurações'!$D$3), V20*$P$14) </f>
        <v>960000</v>
      </c>
      <c r="X20" s="64">
        <f>W20/$D$10</f>
        <v>9.6</v>
      </c>
      <c r="Y20" s="92">
        <f> IF($U$33, FLOOR( ROUNDDOWN(Y$13*$U20,0), '⚙️Configurações'!$C$3), ROUNDDOWN(Y$13*$U20,0) )</f>
        <v>64</v>
      </c>
      <c r="Z20" s="83">
        <f> IF($U$33, FLOOR( Y20*$P$14, '⚙️Configurações'!$D$3), Y20*$P$14) </f>
        <v>768000</v>
      </c>
      <c r="AA20" s="84">
        <f>Z20/$D$10</f>
        <v>7.68</v>
      </c>
      <c r="AB20" s="99">
        <f> IF($U$33, FLOOR( ROUNDDOWN(AB$13*$U20,0), '⚙️Configurações'!$C$3), ROUNDDOWN(AB$13*$U20,0) )</f>
        <v>54</v>
      </c>
      <c r="AC20" s="94">
        <f> IF($U$33, FLOOR( AB20*$P$14, '⚙️Configurações'!$D$3), AB20*$P$14) </f>
        <v>648000</v>
      </c>
      <c r="AD20" s="95">
        <f>AC20/$D$10</f>
        <v>6.48</v>
      </c>
      <c r="AE20" s="100">
        <f> IF($U$33, FLOOR( ROUNDDOWN(AE$13*$U20,0), '⚙️Configurações'!$C$3), ROUNDDOWN(AE$13*$U20,0) )</f>
        <v>47</v>
      </c>
      <c r="AF20" s="101">
        <f> IF($U$33, FLOOR( AE20*$P$14, '⚙️Configurações'!$D$3), AE20*$P$14) </f>
        <v>564000</v>
      </c>
      <c r="AG20" s="102">
        <f>AF20/$D$10</f>
        <v>5.64</v>
      </c>
      <c r="AH20" s="99">
        <f> IF($U$33, FLOOR( ROUNDDOWN(AH$13*$U20,0), '⚙️Configurações'!$C$3), ROUNDDOWN(AH$13*$U20,0) )</f>
        <v>42</v>
      </c>
      <c r="AI20" s="94">
        <f> IF($U$33, FLOOR( AH20*$P$14, '⚙️Configurações'!$D$3), AH20*$P$14) </f>
        <v>504000</v>
      </c>
      <c r="AJ20" s="95">
        <f>AI20/$D$10</f>
        <v>5.04</v>
      </c>
      <c r="AK20" s="92">
        <f> IF($U$33, FLOOR( ROUNDDOWN(AK$13*$U20,0), '⚙️Configurações'!$C$3), ROUNDDOWN(AK$13*$U20,0) )</f>
        <v>39</v>
      </c>
      <c r="AL20" s="83">
        <f> IF($U$33, FLOOR( AK20*$P$14, '⚙️Configurações'!$D$3), AK20*$P$14) </f>
        <v>468000</v>
      </c>
      <c r="AM20" s="84">
        <f>AL20/$D$10</f>
        <v>4.68</v>
      </c>
      <c r="AN20" s="62">
        <f> IF($U$33, FLOOR( ROUNDDOWN(AN$13*$U20,0), '⚙️Configurações'!$C$3), ROUNDDOWN(AN$13*$U20,0) )</f>
        <v>36</v>
      </c>
      <c r="AO20" s="63">
        <f> IF($U$33, FLOOR( AN20*$P$14, '⚙️Configurações'!$D$3), AN20*$P$14) </f>
        <v>432000</v>
      </c>
      <c r="AP20" s="103">
        <f>AO20/$D$10</f>
        <v>4.32</v>
      </c>
      <c r="AQ20" s="15"/>
      <c r="AR20" s="1"/>
    </row>
    <row r="21" ht="15.75" customHeight="1">
      <c r="A21" s="104"/>
      <c r="B21" s="105"/>
      <c r="C21" s="106" t="s">
        <v>46</v>
      </c>
      <c r="D21" s="107">
        <f>D$10*D20</f>
        <v>0</v>
      </c>
      <c r="E21" s="108"/>
      <c r="F21" s="104"/>
      <c r="G21" s="105"/>
      <c r="H21" s="109" t="s">
        <v>21</v>
      </c>
      <c r="I21" s="110">
        <f>I$18 + 3*J$18</f>
        <v>90</v>
      </c>
      <c r="J21" s="111">
        <f t="shared" ref="J21:J27" si="1">ROUNDDOWN(D$15/I21,0)</f>
        <v>1111</v>
      </c>
      <c r="K21" s="112">
        <f t="shared" ref="K21:K27" si="2">J21+$K$15</f>
        <v>1811</v>
      </c>
      <c r="L21" s="113"/>
      <c r="M21" s="109" t="s">
        <v>21</v>
      </c>
      <c r="N21" s="114">
        <f>N$18 -3*O$18</f>
        <v>-0.04</v>
      </c>
      <c r="O21" s="115">
        <f t="shared" ref="O21:O27" si="3">$K$24*N21</f>
        <v>-94.64</v>
      </c>
      <c r="P21" s="116">
        <f t="shared" ref="P21:P27" si="4">O21*$P$14</f>
        <v>-1135680</v>
      </c>
      <c r="Q21" s="108"/>
      <c r="R21" s="104"/>
      <c r="S21" s="105"/>
      <c r="T21" s="74"/>
      <c r="U21" s="75"/>
      <c r="X21" s="76"/>
      <c r="Y21" s="77"/>
      <c r="AA21" s="76"/>
      <c r="AB21" s="77"/>
      <c r="AD21" s="76"/>
      <c r="AG21" s="76"/>
      <c r="AH21" s="77"/>
      <c r="AJ21" s="76"/>
      <c r="AK21" s="77"/>
      <c r="AM21" s="76"/>
      <c r="AP21" s="41"/>
      <c r="AQ21" s="108"/>
      <c r="AR21" s="104"/>
    </row>
    <row r="22" ht="15.75" customHeight="1">
      <c r="A22" s="1"/>
      <c r="B22" s="13"/>
      <c r="C22" s="78" t="s">
        <v>47</v>
      </c>
      <c r="D22" s="79">
        <v>0.0</v>
      </c>
      <c r="E22" s="15"/>
      <c r="F22" s="1"/>
      <c r="G22" s="13"/>
      <c r="H22" s="117" t="s">
        <v>20</v>
      </c>
      <c r="I22" s="110">
        <f>I$18 + 2*J$18</f>
        <v>80</v>
      </c>
      <c r="J22" s="118">
        <f t="shared" si="1"/>
        <v>1250</v>
      </c>
      <c r="K22" s="119">
        <f t="shared" si="2"/>
        <v>1950</v>
      </c>
      <c r="L22" s="22"/>
      <c r="M22" s="117" t="s">
        <v>20</v>
      </c>
      <c r="N22" s="114">
        <f>N$18 -2*O$18</f>
        <v>-0.02</v>
      </c>
      <c r="O22" s="120">
        <f t="shared" si="3"/>
        <v>-47.32</v>
      </c>
      <c r="P22" s="121">
        <f t="shared" si="4"/>
        <v>-567840</v>
      </c>
      <c r="Q22" s="15"/>
      <c r="R22" s="1"/>
      <c r="S22" s="13"/>
      <c r="T22" s="74"/>
      <c r="U22" s="52">
        <f>N23</f>
        <v>0</v>
      </c>
      <c r="V22" s="91">
        <f> IF($U$33, FLOOR( ROUNDDOWN(V$13*$U22,0), '⚙️Configurações'!$C$3), ROUNDDOWN(V$13*$U22,0) )</f>
        <v>0</v>
      </c>
      <c r="W22" s="60">
        <f> IF($U$33, FLOOR( V22*$P$14, '⚙️Configurações'!$D$3), V22*$P$14) </f>
        <v>0</v>
      </c>
      <c r="X22" s="61">
        <f>W22/$D$10</f>
        <v>0</v>
      </c>
      <c r="Y22" s="81">
        <f> IF($U$33, FLOOR( ROUNDDOWN(Y$13*$U22,0), '⚙️Configurações'!$C$3), ROUNDDOWN(Y$13*$U22,0) )</f>
        <v>0</v>
      </c>
      <c r="Z22" s="63">
        <f> IF($U$33, FLOOR( Y22*$P$14, '⚙️Configurações'!$D$3), Y22*$P$14) </f>
        <v>0</v>
      </c>
      <c r="AA22" s="64">
        <f>Z22/$D$10</f>
        <v>0</v>
      </c>
      <c r="AB22" s="92">
        <f> IF($U$33, FLOOR( ROUNDDOWN(AB$13*$U22,0), '⚙️Configurações'!$C$3), ROUNDDOWN(AB$13*$U22,0) )</f>
        <v>0</v>
      </c>
      <c r="AC22" s="83">
        <f> IF($U$33, FLOOR( AB22*$P$14, '⚙️Configurações'!$D$3), AB22*$P$14) </f>
        <v>0</v>
      </c>
      <c r="AD22" s="84">
        <f>AC22/$D$10</f>
        <v>0</v>
      </c>
      <c r="AE22" s="93">
        <f> IF($U$33, FLOOR( ROUNDDOWN(AE$13*$U22,0), '⚙️Configurações'!$C$3), ROUNDDOWN(AE$13*$U22,0) )</f>
        <v>0</v>
      </c>
      <c r="AF22" s="94">
        <f> IF($U$33, FLOOR( AE22*$P$14, '⚙️Configurações'!$D$3), AE22*$P$14) </f>
        <v>0</v>
      </c>
      <c r="AG22" s="95">
        <f>AF22/$D$10</f>
        <v>0</v>
      </c>
      <c r="AH22" s="92">
        <f> IF($U$33, FLOOR( ROUNDDOWN(AH$13*$U22,0), '⚙️Configurações'!$C$3), ROUNDDOWN(AH$13*$U22,0) )</f>
        <v>0</v>
      </c>
      <c r="AI22" s="83">
        <f> IF($U$33, FLOOR( AH22*$P$14, '⚙️Configurações'!$D$3), AH22*$P$14) </f>
        <v>0</v>
      </c>
      <c r="AJ22" s="84">
        <f>AI22/$D$10</f>
        <v>0</v>
      </c>
      <c r="AK22" s="81">
        <f> IF($U$33, FLOOR( ROUNDDOWN(AK$13*$U22,0), '⚙️Configurações'!$C$3), ROUNDDOWN(AK$13*$U22,0) )</f>
        <v>0</v>
      </c>
      <c r="AL22" s="63">
        <f> IF($U$33, FLOOR( AK22*$P$14, '⚙️Configurações'!$D$3), AK22*$P$14) </f>
        <v>0</v>
      </c>
      <c r="AM22" s="64">
        <f>AL22/$D$10</f>
        <v>0</v>
      </c>
      <c r="AN22" s="96">
        <f> IF($U$33, FLOOR( ROUNDDOWN(AN$13*$U22,0), '⚙️Configurações'!$C$3), ROUNDDOWN(AN$13*$U22,0) )</f>
        <v>0</v>
      </c>
      <c r="AO22" s="60">
        <f> IF($U$33, FLOOR( AN22*$P$14, '⚙️Configurações'!$D$3), AN22*$P$14) </f>
        <v>0</v>
      </c>
      <c r="AP22" s="97">
        <f>AO22/$D$10</f>
        <v>0</v>
      </c>
      <c r="AQ22" s="15"/>
      <c r="AR22" s="1"/>
    </row>
    <row r="23" ht="15.75" customHeight="1">
      <c r="A23" s="1"/>
      <c r="B23" s="13"/>
      <c r="C23" s="67" t="s">
        <v>48</v>
      </c>
      <c r="D23" s="68">
        <f>D$10*D22</f>
        <v>0</v>
      </c>
      <c r="E23" s="15"/>
      <c r="F23" s="1"/>
      <c r="G23" s="13"/>
      <c r="H23" s="117" t="s">
        <v>19</v>
      </c>
      <c r="I23" s="110">
        <f>I$18 + 1*J$18</f>
        <v>70</v>
      </c>
      <c r="J23" s="111">
        <f t="shared" si="1"/>
        <v>1428</v>
      </c>
      <c r="K23" s="119">
        <f t="shared" si="2"/>
        <v>2128</v>
      </c>
      <c r="L23" s="22"/>
      <c r="M23" s="117" t="s">
        <v>19</v>
      </c>
      <c r="N23" s="114">
        <f>N$18 - 1*O$18</f>
        <v>0</v>
      </c>
      <c r="O23" s="115">
        <f t="shared" si="3"/>
        <v>0</v>
      </c>
      <c r="P23" s="121">
        <f t="shared" si="4"/>
        <v>0</v>
      </c>
      <c r="Q23" s="15"/>
      <c r="R23" s="1"/>
      <c r="S23" s="13"/>
      <c r="T23" s="74"/>
      <c r="U23" s="75"/>
      <c r="X23" s="76"/>
      <c r="Y23" s="77"/>
      <c r="AA23" s="76"/>
      <c r="AB23" s="77"/>
      <c r="AD23" s="76"/>
      <c r="AG23" s="76"/>
      <c r="AH23" s="77"/>
      <c r="AJ23" s="76"/>
      <c r="AK23" s="77"/>
      <c r="AM23" s="76"/>
      <c r="AP23" s="41"/>
      <c r="AQ23" s="15"/>
      <c r="AR23" s="1"/>
    </row>
    <row r="24" ht="15.75" customHeight="1">
      <c r="A24" s="1"/>
      <c r="B24" s="13"/>
      <c r="C24" s="78" t="s">
        <v>49</v>
      </c>
      <c r="D24" s="79">
        <v>0.0</v>
      </c>
      <c r="E24" s="15"/>
      <c r="F24" s="1"/>
      <c r="G24" s="13"/>
      <c r="H24" s="117" t="s">
        <v>18</v>
      </c>
      <c r="I24" s="110">
        <f>I$18</f>
        <v>60</v>
      </c>
      <c r="J24" s="111">
        <f t="shared" si="1"/>
        <v>1666</v>
      </c>
      <c r="K24" s="119">
        <f t="shared" si="2"/>
        <v>2366</v>
      </c>
      <c r="L24" s="22"/>
      <c r="M24" s="117" t="s">
        <v>18</v>
      </c>
      <c r="N24" s="114">
        <f>N$18</f>
        <v>0.02</v>
      </c>
      <c r="O24" s="115">
        <f t="shared" si="3"/>
        <v>47.32</v>
      </c>
      <c r="P24" s="121">
        <f t="shared" si="4"/>
        <v>567840</v>
      </c>
      <c r="Q24" s="15"/>
      <c r="R24" s="1"/>
      <c r="S24" s="13"/>
      <c r="T24" s="74"/>
      <c r="U24" s="52">
        <f>N22</f>
        <v>-0.02</v>
      </c>
      <c r="V24" s="80">
        <f> IF($U$33, FLOOR( ROUNDDOWN(V$13*$U24,0), '⚙️Configurações'!$C$3), ROUNDDOWN(V$13*$U24,0) )</f>
        <v>-80</v>
      </c>
      <c r="W24" s="57">
        <f> IF($U$33, FLOOR( V24*$P$14, '⚙️Configurações'!$D$3), V24*$P$14) </f>
        <v>-960000</v>
      </c>
      <c r="X24" s="58">
        <f>W24/$D$10</f>
        <v>-9.6</v>
      </c>
      <c r="Y24" s="59">
        <f> IF($U$33, FLOOR( ROUNDDOWN(Y$13*$U24,0), '⚙️Configurações'!$C$3), ROUNDDOWN(Y$13*$U24,0) )</f>
        <v>-64</v>
      </c>
      <c r="Z24" s="60">
        <f> IF($U$33, FLOOR( Y24*$P$14, '⚙️Configurações'!$D$3), Y24*$P$14) </f>
        <v>-768000</v>
      </c>
      <c r="AA24" s="61">
        <f>Z24/$D$10</f>
        <v>-7.68</v>
      </c>
      <c r="AB24" s="81">
        <f> IF($U$33, FLOOR( ROUNDDOWN(AB$13*$U24,0), '⚙️Configurações'!$C$3), ROUNDDOWN(AB$13*$U24,0) )</f>
        <v>-54</v>
      </c>
      <c r="AC24" s="63">
        <f> IF($U$33, FLOOR( AB24*$P$14, '⚙️Configurações'!$D$3), AB24*$P$14) </f>
        <v>-648000</v>
      </c>
      <c r="AD24" s="64">
        <f>AC24/$D$10</f>
        <v>-6.48</v>
      </c>
      <c r="AE24" s="82">
        <f> IF($U$33, FLOOR( ROUNDDOWN(AE$13*$U24,0), '⚙️Configurações'!$C$3), ROUNDDOWN(AE$13*$U24,0) )</f>
        <v>-47</v>
      </c>
      <c r="AF24" s="83">
        <f> IF($U$33, FLOOR( AE24*$P$14, '⚙️Configurações'!$D$3), AE24*$P$14) </f>
        <v>-564000</v>
      </c>
      <c r="AG24" s="84">
        <f>AF24/$D$10</f>
        <v>-5.64</v>
      </c>
      <c r="AH24" s="81">
        <f> IF($U$33, FLOOR( ROUNDDOWN(AH$13*$U24,0), '⚙️Configurações'!$C$3), ROUNDDOWN(AH$13*$U24,0) )</f>
        <v>-42</v>
      </c>
      <c r="AI24" s="63">
        <f> IF($U$33, FLOOR( AH24*$P$14, '⚙️Configurações'!$D$3), AH24*$P$14) </f>
        <v>-504000</v>
      </c>
      <c r="AJ24" s="64">
        <f>AI24/$D$10</f>
        <v>-5.04</v>
      </c>
      <c r="AK24" s="59">
        <f> IF($U$33, FLOOR( ROUNDDOWN(AK$13*$U24,0), '⚙️Configurações'!$C$3), ROUNDDOWN(AK$13*$U24,0) )</f>
        <v>-39</v>
      </c>
      <c r="AL24" s="60">
        <f> IF($U$33, FLOOR( AK24*$P$14, '⚙️Configurações'!$D$3), AK24*$P$14) </f>
        <v>-468000</v>
      </c>
      <c r="AM24" s="61">
        <f>AL24/$D$10</f>
        <v>-4.68</v>
      </c>
      <c r="AN24" s="85">
        <f> IF($U$33, FLOOR( ROUNDDOWN(AN$13*$U24,0), '⚙️Configurações'!$C$3), ROUNDDOWN(AN$13*$U24,0) )</f>
        <v>-36</v>
      </c>
      <c r="AO24" s="57">
        <f> IF($U$33, FLOOR( AN24*$P$14, '⚙️Configurações'!$D$3), AN24*$P$14) </f>
        <v>-432000</v>
      </c>
      <c r="AP24" s="86">
        <f>AO24/$D$10</f>
        <v>-4.32</v>
      </c>
      <c r="AQ24" s="15"/>
      <c r="AR24" s="1"/>
    </row>
    <row r="25" ht="15.75" customHeight="1">
      <c r="A25" s="1"/>
      <c r="B25" s="13"/>
      <c r="C25" s="67" t="s">
        <v>48</v>
      </c>
      <c r="D25" s="68">
        <f>D$10*D24</f>
        <v>0</v>
      </c>
      <c r="E25" s="15"/>
      <c r="F25" s="1"/>
      <c r="G25" s="13"/>
      <c r="H25" s="117" t="s">
        <v>17</v>
      </c>
      <c r="I25" s="110">
        <f>I$18 - 1*J$18</f>
        <v>50</v>
      </c>
      <c r="J25" s="111">
        <f t="shared" si="1"/>
        <v>2000</v>
      </c>
      <c r="K25" s="119">
        <f t="shared" si="2"/>
        <v>2700</v>
      </c>
      <c r="L25" s="22"/>
      <c r="M25" s="117" t="s">
        <v>17</v>
      </c>
      <c r="N25" s="114">
        <f>N$18 + 1*O$18</f>
        <v>0.04</v>
      </c>
      <c r="O25" s="115">
        <f t="shared" si="3"/>
        <v>94.64</v>
      </c>
      <c r="P25" s="121">
        <f t="shared" si="4"/>
        <v>1135680</v>
      </c>
      <c r="Q25" s="15"/>
      <c r="R25" s="1"/>
      <c r="S25" s="13"/>
      <c r="T25" s="74"/>
      <c r="U25" s="75"/>
      <c r="X25" s="76"/>
      <c r="Y25" s="77"/>
      <c r="AA25" s="76"/>
      <c r="AB25" s="77"/>
      <c r="AD25" s="76"/>
      <c r="AG25" s="76"/>
      <c r="AH25" s="77"/>
      <c r="AJ25" s="76"/>
      <c r="AK25" s="77"/>
      <c r="AM25" s="76"/>
      <c r="AP25" s="41"/>
      <c r="AQ25" s="15"/>
      <c r="AR25" s="1"/>
    </row>
    <row r="26" ht="15.75" customHeight="1">
      <c r="A26" s="1"/>
      <c r="B26" s="13"/>
      <c r="C26" s="78" t="s">
        <v>50</v>
      </c>
      <c r="D26" s="79">
        <v>0.0</v>
      </c>
      <c r="E26" s="15"/>
      <c r="F26" s="1"/>
      <c r="G26" s="13"/>
      <c r="H26" s="117" t="s">
        <v>16</v>
      </c>
      <c r="I26" s="110">
        <f>I$18 - 2*J$18</f>
        <v>40</v>
      </c>
      <c r="J26" s="111">
        <f t="shared" si="1"/>
        <v>2500</v>
      </c>
      <c r="K26" s="119">
        <f t="shared" si="2"/>
        <v>3200</v>
      </c>
      <c r="L26" s="22"/>
      <c r="M26" s="117" t="s">
        <v>16</v>
      </c>
      <c r="N26" s="114">
        <f>N$18 + 2*O$18</f>
        <v>0.06</v>
      </c>
      <c r="O26" s="115">
        <f t="shared" si="3"/>
        <v>141.96</v>
      </c>
      <c r="P26" s="121">
        <f t="shared" si="4"/>
        <v>1703520</v>
      </c>
      <c r="Q26" s="15"/>
      <c r="R26" s="1"/>
      <c r="S26" s="13"/>
      <c r="T26" s="74"/>
      <c r="U26" s="52">
        <f>N21</f>
        <v>-0.04</v>
      </c>
      <c r="V26" s="53">
        <f> IF($U$33, FLOOR( ROUNDDOWN(V$13*$U26,0), '⚙️Configurações'!$C$3), ROUNDDOWN(V$13*$U26,0) )</f>
        <v>-161</v>
      </c>
      <c r="W26" s="54">
        <f> IF($U$33, FLOOR( V26*$P$14, '⚙️Configurações'!$D$3), V26*$P$14) </f>
        <v>-1932000</v>
      </c>
      <c r="X26" s="55">
        <f>W26/$D$10</f>
        <v>-19.32</v>
      </c>
      <c r="Y26" s="56">
        <f> IF($U$33, FLOOR( ROUNDDOWN(Y$13*$U26,0), '⚙️Configurações'!$C$3), ROUNDDOWN(Y$13*$U26,0) )</f>
        <v>-128</v>
      </c>
      <c r="Z26" s="57">
        <f> IF($U$33, FLOOR( Y26*$P$14, '⚙️Configurações'!$D$3), Y26*$P$14) </f>
        <v>-1536000</v>
      </c>
      <c r="AA26" s="58">
        <f>Z26/$D$10</f>
        <v>-15.36</v>
      </c>
      <c r="AB26" s="59">
        <f> IF($U$33, FLOOR( ROUNDDOWN(AB$13*$U26,0), '⚙️Configurações'!$C$3), ROUNDDOWN(AB$13*$U26,0) )</f>
        <v>-108</v>
      </c>
      <c r="AC26" s="60">
        <f> IF($U$33, FLOOR( AB26*$P$14, '⚙️Configurações'!$D$3), AB26*$P$14) </f>
        <v>-1296000</v>
      </c>
      <c r="AD26" s="61">
        <f>AC26/$D$10</f>
        <v>-12.96</v>
      </c>
      <c r="AE26" s="62">
        <f> IF($U$33, FLOOR( ROUNDDOWN(AE$13*$U26,0), '⚙️Configurações'!$C$3), ROUNDDOWN(AE$13*$U26,0) )</f>
        <v>-94</v>
      </c>
      <c r="AF26" s="63">
        <f> IF($U$33, FLOOR( AE26*$P$14, '⚙️Configurações'!$D$3), AE26*$P$14) </f>
        <v>-1128000</v>
      </c>
      <c r="AG26" s="64">
        <f>AF26/$D$10</f>
        <v>-11.28</v>
      </c>
      <c r="AH26" s="59">
        <f> IF($U$33, FLOOR( ROUNDDOWN(AH$13*$U26,0), '⚙️Configurações'!$C$3), ROUNDDOWN(AH$13*$U26,0) )</f>
        <v>-85</v>
      </c>
      <c r="AI26" s="60">
        <f> IF($U$33, FLOOR( AH26*$P$14, '⚙️Configurações'!$D$3), AH26*$P$14) </f>
        <v>-1020000</v>
      </c>
      <c r="AJ26" s="61">
        <f>AI26/$D$10</f>
        <v>-10.2</v>
      </c>
      <c r="AK26" s="56">
        <f> IF($U$33, FLOOR( ROUNDDOWN(AK$13*$U26,0), '⚙️Configurações'!$C$3), ROUNDDOWN(AK$13*$U26,0) )</f>
        <v>-78</v>
      </c>
      <c r="AL26" s="57">
        <f> IF($U$33, FLOOR( AK26*$P$14, '⚙️Configurações'!$D$3), AK26*$P$14) </f>
        <v>-936000</v>
      </c>
      <c r="AM26" s="58">
        <f>AL26/$D$10</f>
        <v>-9.36</v>
      </c>
      <c r="AN26" s="65">
        <f> IF($U$33, FLOOR( ROUNDDOWN(AN$13*$U26,0), '⚙️Configurações'!$C$3), ROUNDDOWN(AN$13*$U26,0) )</f>
        <v>-72</v>
      </c>
      <c r="AO26" s="54">
        <f> IF($U$33, FLOOR( AN26*$P$14, '⚙️Configurações'!$D$3), AN26*$P$14) </f>
        <v>-864000</v>
      </c>
      <c r="AP26" s="66">
        <f>AO26/$D$10</f>
        <v>-8.64</v>
      </c>
      <c r="AQ26" s="15"/>
      <c r="AR26" s="1"/>
    </row>
    <row r="27" ht="15.75" customHeight="1">
      <c r="A27" s="1"/>
      <c r="B27" s="13"/>
      <c r="C27" s="29" t="s">
        <v>51</v>
      </c>
      <c r="D27" s="122">
        <f>D$10*D26</f>
        <v>0</v>
      </c>
      <c r="E27" s="15"/>
      <c r="F27" s="1"/>
      <c r="G27" s="13"/>
      <c r="H27" s="123" t="s">
        <v>52</v>
      </c>
      <c r="I27" s="124">
        <f>I$18 - 3*J$18</f>
        <v>30</v>
      </c>
      <c r="J27" s="125">
        <f t="shared" si="1"/>
        <v>3333</v>
      </c>
      <c r="K27" s="125">
        <f t="shared" si="2"/>
        <v>4033</v>
      </c>
      <c r="L27" s="22"/>
      <c r="M27" s="123" t="s">
        <v>15</v>
      </c>
      <c r="N27" s="126">
        <f>N$18 + 3*O$18</f>
        <v>0.08</v>
      </c>
      <c r="O27" s="127">
        <f t="shared" si="3"/>
        <v>189.28</v>
      </c>
      <c r="P27" s="128">
        <f t="shared" si="4"/>
        <v>2271360</v>
      </c>
      <c r="Q27" s="15"/>
      <c r="R27" s="1"/>
      <c r="S27" s="13"/>
      <c r="T27" s="129"/>
      <c r="U27" s="130"/>
      <c r="V27" s="131"/>
      <c r="W27" s="131"/>
      <c r="X27" s="132"/>
      <c r="Y27" s="133"/>
      <c r="Z27" s="131"/>
      <c r="AA27" s="132"/>
      <c r="AB27" s="133"/>
      <c r="AC27" s="131"/>
      <c r="AD27" s="132"/>
      <c r="AE27" s="131"/>
      <c r="AF27" s="131"/>
      <c r="AG27" s="132"/>
      <c r="AH27" s="133"/>
      <c r="AI27" s="131"/>
      <c r="AJ27" s="132"/>
      <c r="AK27" s="133"/>
      <c r="AL27" s="131"/>
      <c r="AM27" s="132"/>
      <c r="AN27" s="131"/>
      <c r="AO27" s="131"/>
      <c r="AP27" s="134"/>
      <c r="AQ27" s="15"/>
      <c r="AR27" s="1"/>
    </row>
    <row r="28" ht="15.75" customHeight="1">
      <c r="A28" s="1"/>
      <c r="B28" s="13"/>
      <c r="C28" s="14"/>
      <c r="D28" s="14"/>
      <c r="E28" s="15"/>
      <c r="F28" s="1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1"/>
      <c r="S28" s="13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5"/>
      <c r="AR28" s="1"/>
    </row>
    <row r="29" ht="15.75" customHeight="1">
      <c r="A29" s="1"/>
      <c r="B29" s="13"/>
      <c r="C29" s="14"/>
      <c r="D29" s="14"/>
      <c r="E29" s="15"/>
      <c r="F29" s="1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"/>
      <c r="S29" s="13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5"/>
      <c r="AR29" s="1"/>
    </row>
    <row r="30" ht="15.75" customHeight="1">
      <c r="A30" s="1"/>
      <c r="B30" s="135"/>
      <c r="C30" s="136"/>
      <c r="D30" s="136"/>
      <c r="E30" s="137"/>
      <c r="F30" s="1"/>
      <c r="G30" s="138"/>
      <c r="H30" s="139"/>
      <c r="I30" s="139"/>
      <c r="J30" s="139"/>
      <c r="K30" s="139"/>
      <c r="L30" s="139"/>
      <c r="M30" s="139"/>
      <c r="N30" s="139"/>
      <c r="O30" s="139"/>
      <c r="P30" s="139"/>
      <c r="Q30" s="140"/>
      <c r="R30" s="1"/>
      <c r="S30" s="141"/>
      <c r="T30" s="142"/>
      <c r="U30" s="142"/>
      <c r="V30" s="142"/>
      <c r="W30" s="142"/>
      <c r="X30" s="142"/>
      <c r="Y30" s="142"/>
      <c r="Z30" s="142"/>
      <c r="AA30" s="142"/>
      <c r="AB30" s="142"/>
      <c r="AC30" s="143"/>
      <c r="AD30" s="143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4"/>
      <c r="AR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"/>
      <c r="AD31" s="2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2"/>
      <c r="AD32" s="2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45" t="s">
        <v>53</v>
      </c>
      <c r="T33" s="28"/>
      <c r="U33" s="146" t="b">
        <v>0</v>
      </c>
      <c r="V33" s="1"/>
      <c r="W33" s="1"/>
      <c r="X33" s="1"/>
      <c r="Y33" s="1"/>
      <c r="Z33" s="1"/>
      <c r="AA33" s="1"/>
      <c r="AB33" s="1"/>
      <c r="AC33" s="2"/>
      <c r="AD33" s="2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"/>
      <c r="AD34" s="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"/>
      <c r="AD35" s="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8">
    <mergeCell ref="U14:U15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N16:AN17"/>
    <mergeCell ref="AO16:AO17"/>
    <mergeCell ref="AP16:AP17"/>
    <mergeCell ref="AP18:AP19"/>
    <mergeCell ref="AG16:AG17"/>
    <mergeCell ref="AH16:AH17"/>
    <mergeCell ref="AI16:AI17"/>
    <mergeCell ref="AJ16:AJ17"/>
    <mergeCell ref="AK16:AK17"/>
    <mergeCell ref="AL16:AL17"/>
    <mergeCell ref="AM16:AM17"/>
    <mergeCell ref="U18:U19"/>
    <mergeCell ref="V18:V19"/>
    <mergeCell ref="AB18:AB19"/>
    <mergeCell ref="AC18:AC19"/>
    <mergeCell ref="AD18:AD19"/>
    <mergeCell ref="AE18:AE19"/>
    <mergeCell ref="AF18:AF19"/>
    <mergeCell ref="AF26:AF27"/>
    <mergeCell ref="AG26:AG27"/>
    <mergeCell ref="Y26:Y27"/>
    <mergeCell ref="Z26:Z27"/>
    <mergeCell ref="AA26:AA27"/>
    <mergeCell ref="AB26:AB27"/>
    <mergeCell ref="AC26:AC27"/>
    <mergeCell ref="AD26:AD27"/>
    <mergeCell ref="AE26:AE27"/>
    <mergeCell ref="S33:T33"/>
    <mergeCell ref="AO26:AO27"/>
    <mergeCell ref="AP26:AP27"/>
    <mergeCell ref="AH26:AH27"/>
    <mergeCell ref="AI26:AI27"/>
    <mergeCell ref="AJ26:AJ27"/>
    <mergeCell ref="AK26:AK27"/>
    <mergeCell ref="AL26:AL27"/>
    <mergeCell ref="AM26:AM27"/>
    <mergeCell ref="AN26:AN27"/>
    <mergeCell ref="W18:W19"/>
    <mergeCell ref="X18:X19"/>
    <mergeCell ref="Y20:Y21"/>
    <mergeCell ref="Z20:Z21"/>
    <mergeCell ref="AB20:AB21"/>
    <mergeCell ref="AC20:AC21"/>
    <mergeCell ref="AD20:AD21"/>
    <mergeCell ref="AE20:AE21"/>
    <mergeCell ref="AF20:AF21"/>
    <mergeCell ref="AN20:AN21"/>
    <mergeCell ref="AO20:AO21"/>
    <mergeCell ref="AP20:AP21"/>
    <mergeCell ref="AO24:AO25"/>
    <mergeCell ref="AP24:AP25"/>
    <mergeCell ref="T14:T27"/>
    <mergeCell ref="U22:U23"/>
    <mergeCell ref="U24:U25"/>
    <mergeCell ref="U26:U27"/>
    <mergeCell ref="V26:V27"/>
    <mergeCell ref="W26:W27"/>
    <mergeCell ref="X26:X27"/>
    <mergeCell ref="AG20:AG21"/>
    <mergeCell ref="AH20:AH21"/>
    <mergeCell ref="AI20:AI21"/>
    <mergeCell ref="AJ20:AJ21"/>
    <mergeCell ref="AK20:AK21"/>
    <mergeCell ref="AL20:AL21"/>
    <mergeCell ref="AM20:AM21"/>
    <mergeCell ref="Y18:Y19"/>
    <mergeCell ref="Z18:Z19"/>
    <mergeCell ref="AA24:AA25"/>
    <mergeCell ref="AB24:AB25"/>
    <mergeCell ref="AC24:AC25"/>
    <mergeCell ref="AD24:AD25"/>
    <mergeCell ref="AE24:AE25"/>
    <mergeCell ref="AJ22:AJ23"/>
    <mergeCell ref="AK22:AK23"/>
    <mergeCell ref="AL22:AL23"/>
    <mergeCell ref="AM22:AM23"/>
    <mergeCell ref="AN22:AN23"/>
    <mergeCell ref="AO22:AO23"/>
    <mergeCell ref="AP22:AP23"/>
    <mergeCell ref="AN14:AN15"/>
    <mergeCell ref="AO14:AO15"/>
    <mergeCell ref="AG14:AG15"/>
    <mergeCell ref="AH14:AH15"/>
    <mergeCell ref="AI14:AI15"/>
    <mergeCell ref="AJ14:AJ15"/>
    <mergeCell ref="AK14:AK15"/>
    <mergeCell ref="AL14:AL15"/>
    <mergeCell ref="AM14:AM15"/>
    <mergeCell ref="AB11:AD11"/>
    <mergeCell ref="AE11:AG11"/>
    <mergeCell ref="AB12:AD12"/>
    <mergeCell ref="AE12:AG12"/>
    <mergeCell ref="AB13:AD13"/>
    <mergeCell ref="AE13:AG13"/>
    <mergeCell ref="T10:U13"/>
    <mergeCell ref="V12:X12"/>
    <mergeCell ref="V13:X13"/>
    <mergeCell ref="H14:H15"/>
    <mergeCell ref="M14:M15"/>
    <mergeCell ref="H17:H18"/>
    <mergeCell ref="M17:M18"/>
    <mergeCell ref="C7:D7"/>
    <mergeCell ref="H7:P7"/>
    <mergeCell ref="T7:AP7"/>
    <mergeCell ref="H10:H11"/>
    <mergeCell ref="M10:M11"/>
    <mergeCell ref="V10:AP10"/>
    <mergeCell ref="AN11:AP11"/>
    <mergeCell ref="W14:W15"/>
    <mergeCell ref="X14:X15"/>
    <mergeCell ref="Y14:Y15"/>
    <mergeCell ref="Z14:Z15"/>
    <mergeCell ref="AB14:AB15"/>
    <mergeCell ref="AC14:AC15"/>
    <mergeCell ref="AD14:AD15"/>
    <mergeCell ref="AE14:AE15"/>
    <mergeCell ref="AF14:AF15"/>
    <mergeCell ref="AN13:AP13"/>
    <mergeCell ref="AP14:AP15"/>
    <mergeCell ref="AH11:AJ11"/>
    <mergeCell ref="AK11:AM11"/>
    <mergeCell ref="AH12:AJ12"/>
    <mergeCell ref="AK12:AM12"/>
    <mergeCell ref="AN12:AP12"/>
    <mergeCell ref="AH13:AJ13"/>
    <mergeCell ref="AK13:AM13"/>
    <mergeCell ref="AN18:AN19"/>
    <mergeCell ref="AO18:AO19"/>
    <mergeCell ref="AG18:AG19"/>
    <mergeCell ref="AH18:AH19"/>
    <mergeCell ref="AI18:AI19"/>
    <mergeCell ref="AJ18:AJ19"/>
    <mergeCell ref="AK18:AK19"/>
    <mergeCell ref="AL18:AL19"/>
    <mergeCell ref="AM18:AM19"/>
    <mergeCell ref="V14:V15"/>
    <mergeCell ref="U20:U21"/>
    <mergeCell ref="V20:V21"/>
    <mergeCell ref="V11:X11"/>
    <mergeCell ref="Y11:AA11"/>
    <mergeCell ref="Y12:AA12"/>
    <mergeCell ref="Y13:AA13"/>
    <mergeCell ref="AA14:AA15"/>
    <mergeCell ref="AA18:AA19"/>
    <mergeCell ref="AA20:AA21"/>
    <mergeCell ref="AH22:AH23"/>
    <mergeCell ref="AI22:AI23"/>
    <mergeCell ref="AA22:AA23"/>
    <mergeCell ref="AB22:AB23"/>
    <mergeCell ref="AC22:AC23"/>
    <mergeCell ref="AD22:AD23"/>
    <mergeCell ref="AE22:AE23"/>
    <mergeCell ref="AF22:AF23"/>
    <mergeCell ref="AG22:AG23"/>
    <mergeCell ref="V24:V25"/>
    <mergeCell ref="W24:W25"/>
    <mergeCell ref="X24:X25"/>
    <mergeCell ref="Y24:Y25"/>
    <mergeCell ref="Z24:Z25"/>
    <mergeCell ref="W20:W21"/>
    <mergeCell ref="X20:X21"/>
    <mergeCell ref="V22:V23"/>
    <mergeCell ref="W22:W23"/>
    <mergeCell ref="X22:X23"/>
    <mergeCell ref="Y22:Y23"/>
    <mergeCell ref="Z22:Z23"/>
    <mergeCell ref="AM24:AM25"/>
    <mergeCell ref="AN24:AN25"/>
    <mergeCell ref="AF24:AF25"/>
    <mergeCell ref="AG24:AG25"/>
    <mergeCell ref="AH24:AH25"/>
    <mergeCell ref="AI24:AI25"/>
    <mergeCell ref="AJ24:AJ25"/>
    <mergeCell ref="AK24:AK25"/>
    <mergeCell ref="AL24:AL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15.63"/>
    <col customWidth="1" min="3" max="3" width="17.5"/>
    <col customWidth="1" min="4" max="4" width="16.75"/>
    <col customWidth="1" min="5" max="5" width="12.63"/>
    <col customWidth="1" min="6" max="6" width="2.0"/>
  </cols>
  <sheetData>
    <row r="1" ht="15.75" customHeight="1"/>
    <row r="2" ht="15.75" customHeight="1">
      <c r="B2" s="147" t="s">
        <v>54</v>
      </c>
      <c r="C2" s="148" t="s">
        <v>55</v>
      </c>
      <c r="D2" s="149" t="s">
        <v>56</v>
      </c>
      <c r="E2" s="150" t="s">
        <v>57</v>
      </c>
    </row>
    <row r="3" ht="15.75" customHeight="1">
      <c r="B3" s="31"/>
      <c r="C3" s="151">
        <v>10.0</v>
      </c>
      <c r="D3" s="152">
        <v>50000.0</v>
      </c>
      <c r="E3" s="153">
        <v>500.0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3"/>
  </mergeCells>
  <drawing r:id="rId1"/>
</worksheet>
</file>